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hidePivotFieldList="1"/>
  <mc:AlternateContent xmlns:mc="http://schemas.openxmlformats.org/markup-compatibility/2006">
    <mc:Choice Requires="x15">
      <x15ac:absPath xmlns:x15ac="http://schemas.microsoft.com/office/spreadsheetml/2010/11/ac" url="C:\Users\shres\Downloads\"/>
    </mc:Choice>
  </mc:AlternateContent>
  <xr:revisionPtr revIDLastSave="0" documentId="8_{E9B6479D-81CD-4C6E-BDC3-01F87047FEA9}" xr6:coauthVersionLast="47" xr6:coauthVersionMax="47" xr10:uidLastSave="{00000000-0000-0000-0000-000000000000}"/>
  <bookViews>
    <workbookView xWindow="-110" yWindow="-110" windowWidth="19420" windowHeight="10300" activeTab="2" xr2:uid="{26D4546B-D2A1-4444-8EAF-A6228F96F0C1}"/>
  </bookViews>
  <sheets>
    <sheet name="pivorts" sheetId="6" r:id="rId1"/>
    <sheet name="Data" sheetId="2" r:id="rId2"/>
    <sheet name="customer center report" sheetId="5" r:id="rId3"/>
    <sheet name="Assets" sheetId="4" r:id="rId4"/>
  </sheets>
  <definedNames>
    <definedName name="_xlnm._FilterDatabase" localSheetId="1" hidden="1">Data!$B$3:$H$1003</definedName>
    <definedName name="_xlcn.WorksheetConnection_sampledataexcelportfolioproject.xlsxcalls" hidden="1">calls[]</definedName>
    <definedName name="_xlcn.WorksheetConnection_sampledataexcelportfolioproject.xlsxcustomers" hidden="1">customers[]</definedName>
    <definedName name="Slicer_Representativ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xlsx!customers"/>
          <x15:modelTable id="calls" name="calls" connection="WorksheetConnection_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Lst>
</workbook>
</file>

<file path=xl/calcChain.xml><?xml version="1.0" encoding="utf-8"?>
<calcChain xmlns="http://schemas.openxmlformats.org/spreadsheetml/2006/main">
  <c r="J32" i="6" l="1"/>
  <c r="I37"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J35" i="6" l="1"/>
  <c r="J37" i="6"/>
  <c r="J38" i="6"/>
  <c r="J39" i="6"/>
  <c r="J36" i="6"/>
  <c r="I35" i="6"/>
  <c r="I36" i="6"/>
  <c r="I39" i="6"/>
  <c r="I38"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3C0CCE-DBBF-476B-AF92-604B90DD1CC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0A76930-153F-4FB5-9BAD-CBB3D57D1994}" name="WorksheetConnection_sample-data-excel-portfolio-project.xlsx!calls" type="102" refreshedVersion="8" minRefreshableVersion="5">
    <extLst>
      <ext xmlns:x15="http://schemas.microsoft.com/office/spreadsheetml/2010/11/main" uri="{DE250136-89BD-433C-8126-D09CA5730AF9}">
        <x15:connection id="calls" autoDelete="1">
          <x15:rangePr sourceName="_xlcn.WorksheetConnection_sampledataexcelportfolioproject.xlsxcalls"/>
        </x15:connection>
      </ext>
    </extLst>
  </connection>
  <connection id="3" xr16:uid="{C9C06239-1F79-418E-AED7-ADE14A8222D2}" name="WorksheetConnection_sample-data-excel-portfolio-project.xlsx!customers" type="102" refreshedVersion="8" minRefreshableVersion="5">
    <extLst>
      <ext xmlns:x15="http://schemas.microsoft.com/office/spreadsheetml/2010/11/main" uri="{DE250136-89BD-433C-8126-D09CA5730AF9}">
        <x15:connection id="customers">
          <x15:rangePr sourceName="_xlcn.WorksheetConnection_sampledataexcelportfolioproject.xlsxcustomers"/>
        </x15:connection>
      </ext>
    </extLst>
  </connection>
</connections>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5">
    <bk>
      <extLst>
        <ext xmlns:xlrd="http://schemas.microsoft.com/office/spreadsheetml/2017/richdata" uri="{3e2802c4-a4d2-4d8b-9148-e3be6c30e623}">
          <xlrd:rvb i="0"/>
        </ext>
      </extLst>
    </bk>
    <bk>
      <extLst>
        <ext xmlns:xlrd="http://schemas.microsoft.com/office/spreadsheetml/2017/richdata" uri="{3e2802c4-a4d2-4d8b-9148-e3be6c30e623}">
          <xlrd:rvb i="1"/>
        </ext>
      </extLst>
    </bk>
    <bk>
      <extLst>
        <ext xmlns:xlrd="http://schemas.microsoft.com/office/spreadsheetml/2017/richdata" uri="{3e2802c4-a4d2-4d8b-9148-e3be6c30e623}">
          <xlrd:rvb i="2"/>
        </ext>
      </extLst>
    </bk>
    <bk>
      <extLst>
        <ext xmlns:xlrd="http://schemas.microsoft.com/office/spreadsheetml/2017/richdata" uri="{3e2802c4-a4d2-4d8b-9148-e3be6c30e623}">
          <xlrd:rvb i="3"/>
        </ext>
      </extLst>
    </bk>
    <bk>
      <extLst>
        <ext xmlns:xlrd="http://schemas.microsoft.com/office/spreadsheetml/2017/richdata"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<sst xmlns="http://schemas.openxmlformats.org/spreadsheetml/2006/main" count="3191" uniqueCount="1077">
  <si>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</si>
  <si>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</si>
  <si>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</si>
  <si>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</si>
  <si>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</si>
  <si>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</si>
  <si>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</si>
  <si>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</si>
  <si>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</si>
  <si>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</si>
  <si>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</si>
  <si>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</si>
  <si>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</si>
  <si>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</si>
  <si>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</si>
  <si>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</si>
  <si>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</si>
  <si>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</si>
  <si>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</si>
  <si>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</si>
  <si>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</si>
  <si>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</si>
  <si>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</si>
  <si>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</si>
  <si>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</si>
  <si>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</si>
  <si>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</si>
  <si>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</si>
  <si>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</si>
  <si>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</si>
  <si>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</si>
  <si>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</si>
  <si>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</si>
  <si>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</si>
  <si>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</si>
  <si>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</si>
  <si>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</si>
  <si>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</si>
  <si>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</si>
  <si>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</si>
  <si>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</si>
  <si>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</si>
  <si>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</si>
  <si>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</si>
  <si>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</si>
  <si>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</si>
  <si>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</si>
  <si>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</si>
  <si>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</si>
  <si>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</si>
  <si>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</si>
  <si>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</si>
  <si>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</si>
  <si>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</si>
  <si>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</si>
  <si>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</si>
  <si>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</si>
  <si>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</si>
  <si>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</si>
  <si>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</si>
  <si>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</si>
  <si>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</si>
  <si>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</si>
  <si>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</si>
  <si>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</si>
  <si>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</si>
  <si>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</si>
  <si>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</si>
  <si>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</si>
  <si>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</si>
  <si>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</si>
  <si>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</si>
  <si>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</si>
  <si>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</si>
  <si>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</si>
  <si>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</si>
  <si>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</si>
  <si>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</si>
  <si>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</si>
  <si>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</si>
  <si>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</si>
  <si>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</si>
  <si>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</si>
  <si>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</si>
  <si>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</si>
  <si>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</si>
  <si>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</si>
  <si>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</si>
  <si>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</si>
  <si>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</si>
  <si>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</si>
  <si>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</si>
  <si>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</si>
  <si>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</si>
  <si>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</si>
  <si>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</si>
  <si>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</si>
  <si>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</si>
  <si>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</si>
  <si>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</si>
  <si>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</si>
  <si>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</si>
  <si>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</si>
  <si>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</si>
  <si>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</si>
  <si>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</si>
  <si>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</si>
  <si>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</si>
  <si>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</si>
  <si>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</si>
  <si>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</si>
  <si>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</si>
  <si>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</si>
  <si>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</si>
  <si>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</si>
  <si>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</si>
  <si>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</si>
  <si>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</si>
  <si>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</si>
  <si>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</si>
  <si>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</si>
  <si>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</si>
  <si>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</si>
  <si>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</si>
  <si>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</si>
  <si>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</si>
  <si>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</si>
  <si>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</si>
  <si>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</si>
  <si>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</si>
  <si>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</si>
  <si>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</si>
  <si>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</si>
  <si>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</si>
  <si>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</si>
  <si>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</si>
  <si>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</si>
  <si>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</si>
  <si>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</si>
  <si>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</si>
  <si>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</si>
  <si>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</si>
  <si>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</si>
  <si>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</si>
  <si>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</si>
  <si>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</si>
  <si>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</si>
  <si>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</si>
  <si>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</si>
  <si>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</si>
  <si>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</si>
  <si>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</si>
  <si>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</si>
  <si>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</si>
  <si>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</si>
  <si>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</si>
  <si>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</si>
  <si>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</si>
  <si>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</si>
  <si>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</si>
  <si>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</si>
  <si>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</si>
  <si>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</si>
  <si>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</si>
  <si>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</si>
  <si>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</si>
  <si>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</si>
  <si>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</si>
  <si>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</si>
  <si>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</si>
  <si>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</si>
  <si>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</si>
  <si>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</si>
  <si>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</si>
  <si>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</si>
  <si>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</si>
  <si>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</si>
  <si>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</si>
  <si>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</si>
  <si>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</si>
  <si>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</si>
  <si>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</si>
  <si>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</si>
  <si>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</si>
  <si>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</si>
  <si>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</si>
  <si>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</si>
  <si>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</si>
  <si>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</si>
  <si>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</si>
  <si>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</si>
  <si>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</si>
  <si>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</si>
  <si>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</si>
  <si>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</si>
  <si>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</si>
  <si>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</si>
  <si>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</si>
  <si>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</si>
  <si>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</si>
  <si>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</si>
  <si>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</si>
  <si>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</si>
  <si>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</si>
  <si>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</si>
  <si>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</si>
  <si>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</si>
  <si>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</si>
  <si>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</si>
  <si>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</si>
  <si>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</si>
  <si>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</si>
  <si>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</si>
  <si>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</si>
  <si>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</si>
  <si>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</si>
  <si>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</si>
  <si>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</si>
  <si>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</si>
  <si>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</si>
  <si>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</si>
  <si>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</si>
  <si>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</si>
  <si>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</si>
  <si>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</si>
  <si>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</si>
  <si>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</si>
  <si>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</si>
  <si>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</si>
  <si>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</si>
  <si>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</si>
  <si>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</si>
  <si>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</si>
  <si>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</si>
  <si>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</si>
  <si>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</si>
  <si>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</si>
  <si>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</si>
  <si>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</si>
  <si>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</si>
  <si>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</si>
  <si>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</si>
  <si>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</si>
  <si>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</si>
  <si>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</si>
  <si>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</si>
  <si>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</si>
  <si>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</si>
  <si>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</si>
  <si>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</si>
  <si>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</si>
  <si>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</si>
  <si>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</si>
  <si>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</si>
  <si>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</si>
  <si>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</si>
  <si>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</si>
  <si>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</si>
  <si>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</si>
  <si>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</si>
  <si>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</si>
  <si>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</si>
  <si>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</si>
  <si>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</si>
  <si>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</si>
  <si>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</si>
  <si>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</si>
  <si>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</si>
  <si>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</si>
  <si>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</si>
  <si>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</si>
  <si>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</si>
  <si>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</si>
  <si>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</si>
  <si>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</si>
  <si>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</si>
  <si>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</si>
  <si>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</si>
  <si>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</si>
  <si>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</si>
  <si>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</si>
  <si>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</si>
  <si>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</si>
  <si>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</si>
  <si>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</si>
  <si>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</si>
  <si>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</si>
  <si>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</si>
  <si>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</si>
  <si>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</si>
  <si>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</si>
  <si>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</si>
  <si>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</si>
  <si>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</si>
  <si>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</si>
  <si>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</si>
  <si>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</si>
  <si>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</si>
  <si>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</si>
  <si>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</si>
  <si>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</si>
  <si>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</si>
  <si>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</si>
  <si>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</si>
  <si>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</si>
  <si>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</si>
  <si>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</si>
  <si>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</si>
  <si>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</si>
  <si>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</si>
  <si>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</si>
  <si>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</si>
  <si>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</si>
  <si>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</si>
  <si>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</si>
  <si>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</si>
  <si>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</si>
  <si>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</si>
  <si>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</si>
  <si>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</si>
  <si>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</si>
  <si>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</si>
  <si>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</si>
  <si>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</si>
  <si>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</si>
  <si>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</si>
  <si>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</si>
  <si>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</si>
  <si>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</si>
  <si>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</si>
  <si>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</si>
  <si>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</si>
  <si>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</si>
  <si>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</si>
  <si>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</si>
  <si>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</si>
  <si>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</si>
  <si>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</si>
  <si>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</si>
  <si>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</si>
  <si>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</si>
  <si>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</si>
  <si>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</si>
  <si>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</si>
  <si>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</si>
  <si>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</si>
  <si>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</si>
  <si>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</si>
  <si>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</si>
  <si>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</si>
  <si>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</si>
  <si>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</si>
  <si>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</si>
  <si>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</si>
  <si>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</si>
  <si>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</si>
  <si>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</si>
  <si>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</si>
  <si>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</si>
  <si>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</si>
  <si>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</si>
  <si>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</si>
  <si>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</si>
  <si>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</si>
  <si>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</si>
  <si>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</si>
  <si>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</si>
  <si>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</si>
  <si>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</si>
  <si>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</si>
  <si>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</si>
  <si>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</si>
  <si>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</si>
  <si>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</si>
  <si>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</si>
  <si>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</si>
  <si>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</si>
  <si>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</si>
  <si>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</si>
  <si>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</si>
  <si>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</si>
  <si>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</si>
  <si>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</si>
  <si>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</si>
  <si>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</si>
  <si>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</si>
  <si>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</si>
  <si>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</si>
  <si>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</si>
  <si>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</si>
  <si>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</si>
  <si>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</si>
  <si>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</si>
  <si>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</si>
  <si>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</si>
  <si>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</si>
  <si>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</si>
  <si>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</si>
  <si>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</si>
  <si>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</si>
  <si>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</si>
  <si>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</si>
  <si>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</si>
  <si>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</si>
  <si>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</si>
  <si>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</si>
  <si>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</si>
  <si>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</si>
  <si>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</si>
  <si>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</si>
  <si>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</si>
  <si>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</si>
  <si>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</si>
  <si>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</si>
  <si>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</si>
  <si>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</si>
  <si>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</si>
  <si>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</si>
  <si>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</si>
  <si>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</si>
  <si>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</si>
  <si>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</si>
  <si>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</si>
  <si>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</si>
  <si>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</si>
  <si>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</si>
  <si>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</si>
  <si>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</si>
  <si>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</si>
  <si>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</si>
  <si>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</si>
  <si>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</si>
  <si>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</si>
  <si>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</si>
  <si>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</si>
  <si>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</si>
  <si>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</si>
  <si>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</si>
  <si>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</si>
  <si>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</si>
  <si>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</si>
  <si>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</si>
  <si>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</si>
  <si>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</si>
  <si>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</si>
  <si>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</si>
  <si>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</si>
  <si>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</si>
  <si>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</si>
  <si>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</si>
  <si>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</si>
  <si>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</si>
  <si>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</si>
  <si>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</si>
  <si>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</si>
  <si>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</si>
  <si>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</si>
  <si>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</si>
  <si>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</si>
  <si>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</si>
  <si>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</si>
  <si>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</si>
  <si>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</si>
  <si>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</si>
  <si>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</si>
  <si>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</si>
  <si>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</si>
  <si>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</si>
  <si>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</si>
  <si>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</si>
  <si>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</si>
  <si>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</si>
  <si>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</si>
  <si>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</si>
  <si>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</si>
  <si>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</si>
  <si>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</si>
  <si>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</si>
  <si>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</si>
  <si>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</si>
  <si>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</si>
  <si>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</si>
  <si>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</si>
  <si>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</si>
  <si>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</si>
  <si>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</si>
  <si>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</si>
  <si>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</si>
  <si>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</si>
  <si>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</si>
  <si>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</si>
  <si>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</si>
  <si>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</si>
  <si>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</si>
  <si>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</si>
  <si>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</si>
  <si>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</si>
  <si>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</si>
  <si>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</si>
  <si>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</si>
  <si>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</si>
  <si>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</si>
  <si>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</si>
  <si>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</si>
  <si>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</si>
  <si>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</si>
  <si>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</si>
  <si>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</si>
  <si>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</si>
  <si>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</si>
  <si>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</si>
  <si>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</si>
  <si>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</si>
  <si>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</si>
  <si>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</si>
  <si>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</si>
  <si>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</si>
  <si>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</si>
  <si>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</si>
  <si>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</si>
  <si>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</si>
  <si>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</si>
  <si>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</si>
  <si>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</si>
  <si>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</si>
  <si>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</si>
  <si>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</si>
  <si>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</si>
  <si>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</si>
  <si>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</si>
  <si>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</si>
  <si>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</si>
  <si>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</si>
  <si>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</si>
  <si>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</si>
  <si>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</si>
  <si>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</si>
  <si>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</si>
  <si>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</si>
  <si>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</si>
  <si>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</si>
  <si>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</si>
  <si>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</si>
  <si>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</si>
  <si>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</si>
  <si>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</si>
  <si>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</si>
  <si>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</si>
  <si>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</si>
  <si>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</si>
  <si>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</si>
  <si>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</si>
  <si>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</si>
  <si>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</si>
  <si>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</si>
  <si>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</si>
  <si>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</si>
  <si>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</si>
  <si>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</si>
  <si>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</si>
  <si>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</si>
  <si>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</si>
  <si>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</si>
  <si>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</si>
  <si>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</si>
  <si>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</si>
  <si>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</si>
  <si>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</si>
  <si>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</si>
  <si>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</si>
  <si>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</si>
  <si>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</si>
  <si>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</si>
  <si>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</si>
  <si>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</si>
  <si>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</si>
  <si>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</si>
  <si>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</si>
  <si>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</si>
  <si>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</si>
  <si>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</si>
  <si>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</si>
  <si>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</si>
  <si>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</si>
  <si>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</si>
  <si>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</si>
  <si>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</si>
  <si>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</si>
  <si>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</si>
  <si>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</si>
  <si>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</si>
  <si>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</si>
  <si>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</si>
  <si>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</si>
  <si>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</si>
  <si>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</si>
  <si>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</si>
  <si>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</si>
  <si>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</si>
  <si>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</si>
  <si>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</si>
  <si>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</si>
  <si>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</si>
  <si>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</si>
  <si>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</si>
  <si>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</si>
  <si>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</si>
  <si>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</si>
  <si>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</si>
  <si>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</si>
  <si>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</si>
  <si>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</si>
  <si>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</si>
  <si>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</si>
  <si>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</si>
  <si>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</si>
  <si>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</si>
  <si>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</si>
  <si>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</si>
  <si>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</si>
  <si>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</si>
  <si>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</si>
  <si>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</si>
  <si>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</si>
  <si>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</si>
  <si>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</si>
  <si>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</si>
  <si>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</si>
  <si>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</si>
  <si>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</si>
  <si>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</si>
  <si>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</si>
  <si>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</si>
  <si>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</si>
  <si>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</si>
  <si>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</si>
  <si>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</si>
  <si>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</si>
  <si>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</si>
  <si>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</si>
  <si>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</si>
  <si>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</si>
  <si>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</si>
  <si>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</si>
  <si>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</si>
  <si>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</si>
  <si>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</si>
  <si>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</si>
  <si>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</si>
  <si>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</si>
  <si>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</si>
  <si>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</si>
  <si>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</si>
  <si>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</si>
  <si>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</si>
  <si>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</si>
  <si>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</si>
  <si>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</si>
  <si>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</si>
  <si>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</si>
  <si>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</si>
  <si>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</si>
  <si>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</si>
  <si>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</si>
  <si>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</si>
  <si>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</si>
  <si>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</si>
  <si>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</si>
  <si>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</si>
  <si>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</si>
  <si>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</si>
  <si>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</si>
  <si>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</si>
  <si>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</si>
  <si>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</si>
  <si>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</si>
  <si>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</si>
  <si>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</si>
  <si>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</si>
  <si>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</si>
  <si>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</si>
  <si>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</si>
  <si>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</si>
  <si>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</si>
  <si>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</si>
  <si>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</si>
  <si>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</si>
  <si>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</si>
  <si>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</si>
  <si>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</si>
  <si>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</si>
  <si>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</si>
  <si>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</si>
  <si>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</si>
  <si>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</si>
  <si>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</si>
  <si>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</si>
  <si>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</si>
  <si>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</si>
  <si>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</si>
  <si>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</si>
  <si>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</si>
  <si>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</si>
  <si>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</si>
  <si>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</si>
  <si>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</si>
  <si>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</si>
  <si>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</si>
  <si>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</si>
  <si>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</si>
  <si>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</si>
  <si>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</si>
  <si>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</si>
  <si>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</si>
  <si>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</si>
  <si>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</si>
  <si>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</si>
  <si>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</si>
  <si>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</si>
  <si>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</si>
  <si>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</si>
  <si>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</si>
  <si>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</si>
  <si>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</si>
  <si>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</si>
  <si>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</si>
  <si>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</si>
  <si>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</si>
  <si>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</si>
  <si>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</si>
  <si>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</si>
  <si>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</si>
  <si>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</si>
  <si>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</si>
  <si>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</si>
  <si>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</si>
  <si>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</si>
  <si>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</si>
  <si>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</si>
  <si>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</si>
  <si>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</si>
  <si>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</si>
  <si>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</si>
  <si>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</si>
  <si>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</si>
  <si>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</si>
  <si>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</si>
  <si>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</si>
  <si>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</si>
  <si>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</si>
  <si>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</si>
  <si>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</si>
  <si>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</si>
  <si>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</si>
  <si>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</si>
  <si>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</si>
  <si>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</si>
  <si>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</si>
  <si>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</si>
  <si>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</si>
  <si>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</si>
  <si>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</si>
  <si>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</si>
  <si>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</si>
  <si>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</si>
  <si>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</si>
  <si>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</si>
  <si>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</si>
  <si>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</si>
  <si>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</si>
  <si>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</si>
  <si>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</si>
  <si>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</si>
  <si>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</si>
  <si>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</si>
  <si>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</si>
  <si>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</si>
  <si>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</si>
  <si>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</si>
  <si>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</si>
  <si>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</si>
  <si>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</si>
  <si>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</si>
  <si>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</si>
  <si>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</si>
  <si>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</si>
  <si>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</si>
  <si>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</si>
  <si>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</si>
  <si>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</si>
  <si>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</si>
  <si>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</si>
  <si>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</si>
  <si>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</si>
  <si>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</si>
  <si>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</si>
  <si>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</si>
  <si>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</si>
  <si>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</si>
  <si>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</si>
  <si>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</si>
  <si>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</si>
  <si>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</si>
  <si>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</si>
  <si>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</si>
  <si>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</si>
  <si>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</si>
  <si>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</si>
  <si>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</si>
  <si>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</si>
  <si>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</si>
  <si>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</si>
  <si>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</si>
  <si>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</si>
  <si>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</si>
  <si>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</si>
  <si>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</si>
  <si>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</si>
  <si>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</si>
  <si>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</si>
  <si>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</si>
  <si>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</si>
  <si>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</si>
  <si>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</si>
  <si>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</si>
  <si>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</si>
  <si>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</si>
  <si>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</si>
  <si>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</si>
  <si>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</si>
  <si>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</si>
  <si>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</si>
  <si>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</si>
  <si>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</si>
  <si>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</si>
  <si>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</si>
  <si>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</si>
  <si>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</si>
  <si>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</si>
  <si>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</si>
  <si>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</si>
  <si>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</si>
  <si>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</si>
  <si>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</si>
  <si>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</si>
  <si>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</si>
  <si>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</si>
  <si>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</si>
  <si>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</si>
  <si>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</si>
  <si>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</si>
  <si>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</si>
  <si>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</si>
  <si>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</si>
  <si>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</si>
  <si>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</si>
  <si>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</si>
  <si>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</si>
  <si>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</si>
  <si>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</si>
  <si>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</si>
  <si>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</si>
  <si>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</si>
  <si>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</si>
  <si>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</si>
  <si>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</si>
  <si>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</si>
  <si>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</si>
  <si>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</si>
  <si>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</si>
  <si>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</si>
  <si>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</si>
  <si>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</si>
  <si>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</si>
  <si>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</si>
  <si>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</si>
  <si>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</si>
  <si>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</si>
  <si>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</si>
  <si>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</si>
  <si>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</si>
  <si>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</si>
  <si>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</si>
  <si>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</si>
  <si>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</si>
  <si>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</si>
  <si>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</si>
  <si>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</si>
  <si>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</si>
  <si>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</si>
  <si>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</si>
  <si>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</si>
  <si>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</si>
  <si>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</si>
  <si>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</si>
  <si>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</si>
  <si>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</si>
  <si>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</si>
  <si>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</si>
  <si>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</si>
  <si>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</si>
  <si>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</si>
  <si>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</si>
  <si>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</si>
  <si>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</si>
  <si>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</si>
  <si>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</si>
  <si>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</si>
  <si>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</si>
  <si>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</si>
  <si>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</si>
  <si>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</si>
  <si>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</si>
  <si>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</si>
  <si>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</si>
  <si>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</si>
  <si>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</si>
  <si>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</si>
  <si>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</si>
  <si>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</si>
  <si>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</si>
  <si>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</si>
  <si>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</si>
  <si>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</si>
  <si>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</si>
  <si>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</si>
  <si>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</si>
  <si>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</si>
  <si>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</si>
  <si>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</si>
  <si>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</si>
  <si>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</si>
  <si>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</si>
  <si>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</si>
  <si>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</si>
  <si>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</si>
  <si>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</si>
  <si>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</si>
  <si>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</si>
  <si>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</si>
  <si>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</si>
  <si>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</si>
  <si>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</si>
  <si>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</si>
  <si>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</si>
  <si>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</si>
  <si>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</si>
  <si>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</si>
  <si>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</si>
  <si>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</si>
  <si>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</si>
  <si>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</si>
  <si>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</si>
  <si>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</si>
  <si>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</si>
  <si>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</si>
  <si>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</si>
  <si>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</si>
  <si>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</si>
  <si>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</si>
  <si>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</si>
  <si>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</si>
  <si>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</si>
  <si>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</si>
  <si>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</si>
  <si>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</si>
  <si>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</si>
  <si>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</si>
  <si>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</si>
  <si>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</si>
  <si>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</si>
  <si>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</si>
  <si>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</si>
  <si>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</si>
  <si>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</si>
  <si>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</si>
  <si>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</si>
  <si>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</si>
  <si>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</si>
  <si>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</si>
  <si>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</si>
  <si>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</si>
  <si>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</si>
  <si>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</si>
  <si>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</si>
  <si>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</si>
  <si>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</si>
  <si>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</si>
  <si>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</si>
  <si>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</si>
  <si>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</si>
  <si>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</si>
  <si>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</si>
  <si>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</si>
  <si>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</si>
  <si>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</si>
  <si>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</si>
  <si>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</si>
  <si>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</si>
  <si>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</si>
  <si>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</si>
  <si>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</si>
  <si>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</si>
  <si>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</si>
  <si>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</si>
  <si>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</si>
  <si>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</si>
  <si>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</si>
  <si>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</si>
  <si>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</si>
  <si>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</si>
  <si>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</si>
  <si>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</si>
  <si>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</si>
  <si>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</si>
  <si>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</si>
  <si>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</si>
  <si>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</si>
  <si>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</si>
  <si>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</si>
  <si>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</si>
  <si>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</si>
  <si>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</si>
  <si>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</si>
  <si>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</si>
  <si>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</si>
  <si>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</si>
  <si>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</si>
  <si>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</si>
  <si>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</si>
  <si>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</si>
  <si>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</si>
  <si>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</si>
  <si>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</si>
  <si>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</si>
  <si>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</si>
  <si>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</si>
  <si>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</si>
  <si>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</si>
  <si>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</si>
  <si>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</si>
  <si>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</si>
  <si>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count of calls</t>
  </si>
  <si>
    <t>total amount</t>
  </si>
  <si>
    <t>total duration</t>
  </si>
  <si>
    <t>Avg rating</t>
  </si>
  <si>
    <t>5* cust</t>
  </si>
  <si>
    <t>Row Labels</t>
  </si>
  <si>
    <t>Grand Total</t>
  </si>
  <si>
    <t>Jan</t>
  </si>
  <si>
    <t>Feb</t>
  </si>
  <si>
    <t>Mar</t>
  </si>
  <si>
    <t>Apr</t>
  </si>
  <si>
    <t>May</t>
  </si>
  <si>
    <t>Jun</t>
  </si>
  <si>
    <t>Jul</t>
  </si>
  <si>
    <t>Aug</t>
  </si>
  <si>
    <t>Sep</t>
  </si>
  <si>
    <t>Oct</t>
  </si>
  <si>
    <t>Nov</t>
  </si>
  <si>
    <t>Dec</t>
  </si>
  <si>
    <t>count of calls2</t>
  </si>
  <si>
    <t>Friday</t>
  </si>
  <si>
    <t>Monday</t>
  </si>
  <si>
    <t>Saturday</t>
  </si>
  <si>
    <t>Sunday</t>
  </si>
  <si>
    <t>Thursday</t>
  </si>
  <si>
    <t>Tuesday</t>
  </si>
  <si>
    <t>Wednesday</t>
  </si>
  <si>
    <t>rep</t>
  </si>
  <si>
    <t>calls</t>
  </si>
  <si>
    <t>Amount</t>
  </si>
  <si>
    <t>sel.calls</t>
  </si>
  <si>
    <t>sel.amount</t>
  </si>
  <si>
    <t>selected rep</t>
  </si>
  <si>
    <t>Column Labels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</si>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</sst>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d\-mmm\-yy;@"/>
    <numFmt numFmtId="165" formatCode="0.0"/>
    <numFmt numFmtId="166" formatCode="\$#,##0;\-\$#,##0;\$#,##0"/>
    <numFmt numFmtId="167" formatCode="\$#,###.0,\'\k\'"/>
  </numFmts>
  <fonts count="4"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s>
  <fills count="4">
    <fill>
      <patternFill patternType="none"/>
    </fill>
    <fill>
      <patternFill patternType="gray125"/>
    </fill>
    <fill>
      <patternFill patternType="solid">
        <fgColor theme="7"/>
        <bgColor indexed="64"/>
      </patternFill>
    </fill>
    <fill>
      <patternFill patternType="solid">
        <fgColor theme="7"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s>
  <cellStyleXfs count="1">
    <xf numFmtId="0" fontId="0" fillId="0" borderId="0"/>
  </cellStyleXfs>
  <cellXfs count="31">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3" borderId="0" xfId="0" applyFill="1" applyAlignment="1">
      <alignment horizontal="left"/>
    </xf>
    <xf numFmtId="0" fontId="0" fillId="0" borderId="0" xfId="0" applyAlignment="1">
      <alignment horizontal="left" indent="1"/>
    </xf>
    <xf numFmtId="0" fontId="1" fillId="0" borderId="10" xfId="0" applyFont="1" applyBorder="1" applyAlignment="1">
      <alignment horizontal="left"/>
    </xf>
    <xf numFmtId="0" fontId="1" fillId="0" borderId="10" xfId="0" applyFont="1" applyBorder="1"/>
    <xf numFmtId="0" fontId="0" fillId="0" borderId="0" xfId="0" applyAlignment="1">
      <alignment horizontal="center"/>
    </xf>
  </cellXfs>
  <cellStyles count="1">
    <cellStyle name="Normal" xfId="0" builtinId="0"/>
  </cellStyles>
  <dxfs count="16">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theme="7" tint="0.59999389629810485"/>
        </patternFill>
      </fill>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1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microsoft.com/office/2022/10/relationships/richValueRel" Target="richData/richValueRel.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Structure" Target="richData/rdrichvaluestructure.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 Target="richData/rdrichvalu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[call trend report.xlsx]pivorts!PivotTable1</c:name>
    <c:fmtId val="6"/>
  </c:pivotSource>
  <c:chart>
    <c:title>
      <c:tx>
        <c:rich>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r>
              <a:rPr lang="en-IN" b="1"/>
              <a:t>Calls Trand</a:t>
            </a: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5875" cap="rnd">
            <a:solidFill>
              <a:schemeClr val="accent4"/>
            </a:solidFill>
            <a:round/>
          </a:ln>
          <a:effectLst/>
        </c:spPr>
        <c:marker>
          <c:symbol val="circle"/>
          <c:size val="5"/>
          <c:spPr>
            <a:gradFill rotWithShape="1">
              <a:gsLst>
                <a:gs pos="0">
                  <a:schemeClr val="accent4">
                    <a:shade val="76000"/>
                    <a:lumMod val="110000"/>
                    <a:satMod val="105000"/>
                    <a:tint val="67000"/>
                  </a:schemeClr>
                </a:gs>
                <a:gs pos="50000">
                  <a:schemeClr val="accent4">
                    <a:shade val="76000"/>
                    <a:lumMod val="105000"/>
                    <a:satMod val="103000"/>
                    <a:tint val="73000"/>
                  </a:schemeClr>
                </a:gs>
                <a:gs pos="100000">
                  <a:schemeClr val="accent4">
                    <a:shade val="76000"/>
                    <a:lumMod val="105000"/>
                    <a:satMod val="109000"/>
                    <a:tint val="81000"/>
                  </a:schemeClr>
                </a:gs>
              </a:gsLst>
              <a:lin ang="5400000" scaled="0"/>
            </a:gradFill>
            <a:ln w="9525" cap="flat" cmpd="sng" algn="ctr">
              <a:solidFill>
                <a:schemeClr val="accent4">
                  <a:shade val="76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pivorts!$C$17</c:f>
              <c:strCache>
                <c:ptCount val="1"/>
                <c:pt idx="0">
                  <c:v>count of calls2</c:v>
                </c:pt>
              </c:strCache>
            </c:strRef>
          </c:tx>
          <c:spPr>
            <a:gradFill rotWithShape="1">
              <a:gsLst>
                <a:gs pos="0">
                  <a:schemeClr val="accent4">
                    <a:tint val="77000"/>
                    <a:lumMod val="110000"/>
                    <a:satMod val="105000"/>
                    <a:tint val="67000"/>
                  </a:schemeClr>
                </a:gs>
                <a:gs pos="50000">
                  <a:schemeClr val="accent4">
                    <a:tint val="77000"/>
                    <a:lumMod val="105000"/>
                    <a:satMod val="103000"/>
                    <a:tint val="73000"/>
                  </a:schemeClr>
                </a:gs>
                <a:gs pos="100000">
                  <a:schemeClr val="accent4">
                    <a:tint val="77000"/>
                    <a:lumMod val="105000"/>
                    <a:satMod val="109000"/>
                    <a:tint val="81000"/>
                  </a:schemeClr>
                </a:gs>
              </a:gsLst>
              <a:lin ang="5400000" scaled="0"/>
            </a:gradFill>
            <a:ln w="9525" cap="flat" cmpd="sng" algn="ctr">
              <a:solidFill>
                <a:schemeClr val="accent4">
                  <a:tint val="77000"/>
                  <a:shade val="95000"/>
                </a:schemeClr>
              </a:solidFill>
              <a:round/>
            </a:ln>
            <a:effectLst/>
          </c:spPr>
          <c:cat>
            <c:strRef>
              <c:f>pivorts!$A$18:$A$30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pivorts!$C$18:$C$30</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0-235A-436E-8E66-2DE27CCBA928}"/>
            </c:ext>
          </c:extLst>
        </c:ser>
        <c:dLbls>
          <c:showLegendKey val="0"/>
          <c:showVal val="0"/>
          <c:showCatName val="0"/>
          <c:showSerName val="0"/>
          <c:showPercent val="0"/>
          <c:showBubbleSize val="0"/>
        </c:dLbls>
        <c:axId val="1142395888"/>
        <c:axId val="1142396368"/>
      </c:areaChart>
      <c:lineChart>
        <c:grouping val="standard"/>
        <c:varyColors val="0"/>
        <c:ser>
          <c:idx val="0"/>
          <c:order val="0"/>
          <c:tx>
            <c:strRef>
              <c:f>pivorts!$B$17</c:f>
              <c:strCache>
                <c:ptCount val="1"/>
                <c:pt idx="0">
                  <c:v>count of calls</c:v>
                </c:pt>
              </c:strCache>
            </c:strRef>
          </c:tx>
          <c:spPr>
            <a:ln w="15875" cap="rnd">
              <a:solidFill>
                <a:schemeClr val="accent4">
                  <a:shade val="76000"/>
                </a:schemeClr>
              </a:solidFill>
              <a:round/>
            </a:ln>
            <a:effectLst/>
          </c:spPr>
          <c:marker>
            <c:symbol val="circle"/>
            <c:size val="5"/>
            <c:spPr>
              <a:gradFill rotWithShape="1">
                <a:gsLst>
                  <a:gs pos="0">
                    <a:schemeClr val="accent4">
                      <a:shade val="76000"/>
                      <a:lumMod val="110000"/>
                      <a:satMod val="105000"/>
                      <a:tint val="67000"/>
                    </a:schemeClr>
                  </a:gs>
                  <a:gs pos="50000">
                    <a:schemeClr val="accent4">
                      <a:shade val="76000"/>
                      <a:lumMod val="105000"/>
                      <a:satMod val="103000"/>
                      <a:tint val="73000"/>
                    </a:schemeClr>
                  </a:gs>
                  <a:gs pos="100000">
                    <a:schemeClr val="accent4">
                      <a:shade val="76000"/>
                      <a:lumMod val="105000"/>
                      <a:satMod val="109000"/>
                      <a:tint val="81000"/>
                    </a:schemeClr>
                  </a:gs>
                </a:gsLst>
                <a:lin ang="5400000" scaled="0"/>
              </a:gradFill>
              <a:ln w="9525" cap="flat" cmpd="sng" algn="ctr">
                <a:solidFill>
                  <a:schemeClr val="accent4">
                    <a:shade val="76000"/>
                    <a:shade val="95000"/>
                  </a:schemeClr>
                </a:solidFill>
                <a:round/>
              </a:ln>
              <a:effectLst/>
            </c:spPr>
          </c:marker>
          <c:cat>
            <c:strRef>
              <c:f>pivorts!$A$18:$A$30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pivorts!$B$18:$B$30</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1-235A-436E-8E66-2DE27CCBA928}"/>
            </c:ext>
          </c:extLst>
        </c:ser>
        <c:dLbls>
          <c:showLegendKey val="0"/>
          <c:showVal val="0"/>
          <c:showCatName val="0"/>
          <c:showSerName val="0"/>
          <c:showPercent val="0"/>
          <c:showBubbleSize val="0"/>
        </c:dLbls>
        <c:marker val="1"/>
        <c:smooth val="0"/>
        <c:axId val="1142395888"/>
        <c:axId val="1142396368"/>
      </c:lineChart>
      <c:catAx>
        <c:axId val="114239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42396368"/>
        <c:crosses val="autoZero"/>
        <c:auto val="1"/>
        <c:lblAlgn val="ctr"/>
        <c:lblOffset val="100"/>
        <c:noMultiLvlLbl val="0"/>
      </c:catAx>
      <c:valAx>
        <c:axId val="1142396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42395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[call trend report.xlsx]pivorts!PivotTable2</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pivorts!$H$17</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pivorts!$G$18:$G$25</c:f>
              <c:strCache>
                <c:ptCount val="7"/>
                <c:pt idx="0">
                  <c:v>Monday</c:v>
                </c:pt>
                <c:pt idx="1">
                  <c:v>Tuesday</c:v>
                </c:pt>
                <c:pt idx="2">
                  <c:v>Wednesday</c:v>
                </c:pt>
                <c:pt idx="3">
                  <c:v>Thursday</c:v>
                </c:pt>
                <c:pt idx="4">
                  <c:v>Friday</c:v>
                </c:pt>
                <c:pt idx="5">
                  <c:v>Saturday</c:v>
                </c:pt>
                <c:pt idx="6">
                  <c:v>Sunday</c:v>
                </c:pt>
              </c:strCache>
            </c:strRef>
          </c:cat>
          <c:val>
            <c:numRef>
              <c:f>pivorts!$H$18:$H$25</c:f>
              <c:numCache>
                <c:formatCode>#,##0</c:formatCode>
                <c:ptCount val="7"/>
                <c:pt idx="0">
                  <c:v>34</c:v>
                </c:pt>
                <c:pt idx="1">
                  <c:v>26</c:v>
                </c:pt>
                <c:pt idx="2">
                  <c:v>38</c:v>
                </c:pt>
                <c:pt idx="3">
                  <c:v>27</c:v>
                </c:pt>
                <c:pt idx="4">
                  <c:v>27</c:v>
                </c:pt>
                <c:pt idx="5">
                  <c:v>25</c:v>
                </c:pt>
                <c:pt idx="6">
                  <c:v>30</c:v>
                </c:pt>
              </c:numCache>
            </c:numRef>
          </c:val>
          <c:extLst>
            <c:ext xmlns:c16="http://schemas.microsoft.com/office/drawing/2014/chart" uri="{C3380CC4-5D6E-409C-BE32-E72D297353CC}">
              <c16:uniqueId val="{00000000-9551-4250-AB49-C5839C06833F}"/>
            </c:ext>
          </c:extLst>
        </c:ser>
        <c:dLbls>
          <c:showLegendKey val="0"/>
          <c:showVal val="0"/>
          <c:showCatName val="0"/>
          <c:showSerName val="0"/>
          <c:showPercent val="0"/>
          <c:showBubbleSize val="0"/>
        </c:dLbls>
        <c:gapWidth val="25"/>
        <c:axId val="1333254384"/>
        <c:axId val="1333254864"/>
      </c:barChart>
      <c:catAx>
        <c:axId val="133325438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254864"/>
        <c:crosses val="autoZero"/>
        <c:auto val="1"/>
        <c:lblAlgn val="ctr"/>
        <c:lblOffset val="100"/>
        <c:noMultiLvlLbl val="0"/>
      </c:catAx>
      <c:valAx>
        <c:axId val="1333254864"/>
        <c:scaling>
          <c:orientation val="minMax"/>
        </c:scaling>
        <c:delete val="0"/>
        <c:axPos val="t"/>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25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4">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pivorts!$F$35:$F$39</c:f>
              <c:strCache>
                <c:ptCount val="5"/>
                <c:pt idx="0">
                  <c:v>R01</c:v>
                </c:pt>
                <c:pt idx="1">
                  <c:v>R02</c:v>
                </c:pt>
                <c:pt idx="2">
                  <c:v>R03</c:v>
                </c:pt>
                <c:pt idx="3">
                  <c:v>R04</c:v>
                </c:pt>
                <c:pt idx="4">
                  <c:v>R05</c:v>
                </c:pt>
              </c:strCache>
            </c:strRef>
          </c:cat>
          <c:val>
            <c:numRef>
              <c:f>pivorts!$G$35:$G$39</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E116-499D-B222-1DDB8CE75C1A}"/>
            </c:ext>
          </c:extLst>
        </c:ser>
        <c:ser>
          <c:idx val="1"/>
          <c:order val="1"/>
          <c:tx>
            <c:strRef>
              <c:f>pivorts!$I$34</c:f>
              <c:strCache>
                <c:ptCount val="1"/>
                <c:pt idx="0">
                  <c:v>sel.calls</c:v>
                </c:pt>
              </c:strCache>
            </c:strRef>
          </c:tx>
          <c:spPr>
            <a:solidFill>
              <a:schemeClr val="accent4">
                <a:shade val="76000"/>
              </a:schemeClr>
            </a:solidFill>
            <a:ln>
              <a:noFill/>
            </a:ln>
            <a:effectLst/>
          </c:spPr>
          <c:invertIfNegative val="0"/>
          <c:val>
            <c:numRef>
              <c:f>pivorts!$I$35:$I$39</c:f>
              <c:numCache>
                <c:formatCode>General</c:formatCode>
                <c:ptCount val="5"/>
                <c:pt idx="0">
                  <c:v>#N/A</c:v>
                </c:pt>
                <c:pt idx="1">
                  <c:v>#N/A</c:v>
                </c:pt>
                <c:pt idx="2">
                  <c:v>207</c:v>
                </c:pt>
                <c:pt idx="3">
                  <c:v>#N/A</c:v>
                </c:pt>
                <c:pt idx="4">
                  <c:v>#N/A</c:v>
                </c:pt>
              </c:numCache>
            </c:numRef>
          </c:val>
          <c:extLst>
            <c:ext xmlns:c16="http://schemas.microsoft.com/office/drawing/2014/chart" uri="{C3380CC4-5D6E-409C-BE32-E72D297353CC}">
              <c16:uniqueId val="{00000001-E116-499D-B222-1DDB8CE75C1A}"/>
            </c:ext>
          </c:extLst>
        </c:ser>
        <c:dLbls>
          <c:showLegendKey val="0"/>
          <c:showVal val="0"/>
          <c:showCatName val="0"/>
          <c:showSerName val="0"/>
          <c:showPercent val="0"/>
          <c:showBubbleSize val="0"/>
        </c:dLbls>
        <c:gapWidth val="25"/>
        <c:overlap val="100"/>
        <c:axId val="1534165120"/>
        <c:axId val="1534166560"/>
      </c:barChart>
      <c:catAx>
        <c:axId val="1534165120"/>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166560"/>
        <c:crosses val="autoZero"/>
        <c:auto val="1"/>
        <c:lblAlgn val="ctr"/>
        <c:lblOffset val="100"/>
        <c:noMultiLvlLbl val="0"/>
      </c:catAx>
      <c:valAx>
        <c:axId val="1534166560"/>
        <c:scaling>
          <c:orientation val="minMax"/>
          <c:min val="0"/>
        </c:scaling>
        <c:delete val="0"/>
        <c:axPos val="t"/>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165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4">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pivorts!$F$35:$F$39</c:f>
              <c:strCache>
                <c:ptCount val="5"/>
                <c:pt idx="0">
                  <c:v>R01</c:v>
                </c:pt>
                <c:pt idx="1">
                  <c:v>R02</c:v>
                </c:pt>
                <c:pt idx="2">
                  <c:v>R03</c:v>
                </c:pt>
                <c:pt idx="3">
                  <c:v>R04</c:v>
                </c:pt>
                <c:pt idx="4">
                  <c:v>R05</c:v>
                </c:pt>
              </c:strCache>
            </c:strRef>
          </c:cat>
          <c:val>
            <c:numRef>
              <c:f>pivorts!$H$35:$H$39</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50FB-442E-95D7-D6308DC53E5D}"/>
            </c:ext>
          </c:extLst>
        </c:ser>
        <c:ser>
          <c:idx val="1"/>
          <c:order val="1"/>
          <c:tx>
            <c:strRef>
              <c:f>pivorts!$J$34</c:f>
              <c:strCache>
                <c:ptCount val="1"/>
                <c:pt idx="0">
                  <c:v>sel.amount</c:v>
                </c:pt>
              </c:strCache>
            </c:strRef>
          </c:tx>
          <c:spPr>
            <a:solidFill>
              <a:schemeClr val="accent4">
                <a:shade val="76000"/>
              </a:schemeClr>
            </a:solidFill>
            <a:ln>
              <a:noFill/>
            </a:ln>
            <a:effectLst/>
          </c:spPr>
          <c:invertIfNegative val="0"/>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pivorts!$J$35:$J$39</c:f>
              <c:numCache>
                <c:formatCode>General</c:formatCode>
                <c:ptCount val="5"/>
                <c:pt idx="0">
                  <c:v>#N/A</c:v>
                </c:pt>
                <c:pt idx="1">
                  <c:v>#N/A</c:v>
                </c:pt>
                <c:pt idx="2">
                  <c:v>20872</c:v>
                </c:pt>
                <c:pt idx="3">
                  <c:v>#N/A</c:v>
                </c:pt>
                <c:pt idx="4">
                  <c:v>#N/A</c:v>
                </c:pt>
              </c:numCache>
            </c:numRef>
          </c:val>
          <c:extLst>
            <c:ext xmlns:c16="http://schemas.microsoft.com/office/drawing/2014/chart" uri="{C3380CC4-5D6E-409C-BE32-E72D297353CC}">
              <c16:uniqueId val="{00000001-50FB-442E-95D7-D6308DC53E5D}"/>
            </c:ext>
          </c:extLst>
        </c:ser>
        <c:dLbls>
          <c:dLblPos val="outEnd"/>
          <c:showLegendKey val="0"/>
          <c:showVal val="1"/>
          <c:showCatName val="0"/>
          <c:showSerName val="0"/>
          <c:showPercent val="0"/>
          <c:showBubbleSize val="0"/>
        </c:dLbls>
        <c:gapWidth val="25"/>
        <c:overlap val="100"/>
        <c:axId val="1545327424"/>
        <c:axId val="1545331264"/>
      </c:barChart>
      <c:catAx>
        <c:axId val="1545327424"/>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331264"/>
        <c:crosses val="autoZero"/>
        <c:auto val="1"/>
        <c:lblAlgn val="ctr"/>
        <c:lblOffset val="100"/>
        <c:noMultiLvlLbl val="0"/>
      </c:catAx>
      <c:valAx>
        <c:axId val="1545331264"/>
        <c:scaling>
          <c:orientation val="minMax"/>
        </c:scaling>
        <c:delete val="0"/>
        <c:axPos val="t"/>
        <c:majorGridlines>
          <c:spPr>
            <a:ln w="9525" cap="flat" cmpd="sng" algn="ctr">
              <a:solidFill>
                <a:schemeClr val="tx1">
                  <a:lumMod val="15000"/>
                  <a:lumOff val="85000"/>
                </a:schemeClr>
              </a:solidFill>
              <a:round/>
            </a:ln>
            <a:effectLst/>
          </c:spPr>
        </c:majorGridlines>
        <c:numFmt formatCode="\$#,###.0,\'\k\'"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327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trend report.xlsx]pivorts!PivotTable3</c:name>
    <c:fmtId val="3"/>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IN" sz="1100" b="1">
                <a:solidFill>
                  <a:schemeClr val="accent2"/>
                </a:solidFill>
              </a:rPr>
              <a:t>FEMALE</a:t>
            </a:r>
            <a:r>
              <a:rPr lang="en-IN" sz="1100" baseline="0"/>
              <a:t> VS</a:t>
            </a:r>
            <a:r>
              <a:rPr lang="en-IN" sz="1100" b="1" baseline="0">
                <a:solidFill>
                  <a:schemeClr val="accent4">
                    <a:lumMod val="40000"/>
                    <a:lumOff val="60000"/>
                  </a:schemeClr>
                </a:solidFill>
              </a:rPr>
              <a:t> </a:t>
            </a:r>
            <a:r>
              <a:rPr lang="en-IN" sz="1100" b="1" baseline="0">
                <a:solidFill>
                  <a:schemeClr val="accent4"/>
                </a:solidFill>
              </a:rPr>
              <a:t>MALE </a:t>
            </a:r>
            <a:r>
              <a:rPr lang="en-IN" sz="1100" baseline="0"/>
              <a:t>CALLS</a:t>
            </a:r>
            <a:endParaRPr lang="en-IN" sz="1100"/>
          </a:p>
        </c:rich>
      </c:tx>
      <c:layout>
        <c:manualLayout>
          <c:xMode val="edge"/>
          <c:yMode val="edge"/>
          <c:x val="0.20839607599073184"/>
          <c:y val="0.15132047217163827"/>
        </c:manualLayout>
      </c:layout>
      <c:overlay val="0"/>
      <c:spPr>
        <a:solidFill>
          <a:schemeClr val="bg1"/>
        </a:solid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solidFill>
              <a:schemeClr val="accent2">
                <a:lumMod val="40000"/>
                <a:lumOff val="60000"/>
              </a:schemeClr>
            </a:solidFill>
          </a:ln>
          <a:effectLst/>
        </c:spPr>
      </c:pivotFmt>
      <c:pivotFmt>
        <c:idx val="7"/>
        <c:spPr>
          <a:solidFill>
            <a:schemeClr val="accent2"/>
          </a:solidFill>
          <a:ln>
            <a:noFill/>
          </a:ln>
          <a:effectLst/>
        </c:spPr>
      </c:pivotFmt>
      <c:pivotFmt>
        <c:idx val="8"/>
        <c:spPr>
          <a:solidFill>
            <a:schemeClr val="accent2"/>
          </a:solidFill>
          <a:ln>
            <a:noFill/>
          </a:ln>
          <a:effectLst/>
        </c:spPr>
      </c:pivotFmt>
    </c:pivotFmts>
    <c:plotArea>
      <c:layout/>
      <c:barChart>
        <c:barDir val="col"/>
        <c:grouping val="percentStacked"/>
        <c:varyColors val="0"/>
        <c:ser>
          <c:idx val="0"/>
          <c:order val="0"/>
          <c:tx>
            <c:strRef>
              <c:f>pivorts!$B$50:$B$51</c:f>
              <c:strCache>
                <c:ptCount val="1"/>
                <c:pt idx="0">
                  <c:v>Female</c:v>
                </c:pt>
              </c:strCache>
            </c:strRef>
          </c:tx>
          <c:spPr>
            <a:solidFill>
              <a:schemeClr val="accent1"/>
            </a:solidFill>
            <a:ln>
              <a:noFill/>
            </a:ln>
            <a:effectLst/>
          </c:spPr>
          <c:invertIfNegative val="0"/>
          <c:dPt>
            <c:idx val="0"/>
            <c:invertIfNegative val="0"/>
            <c:bubble3D val="0"/>
            <c:spPr>
              <a:solidFill>
                <a:schemeClr val="accent2"/>
              </a:solidFill>
              <a:ln>
                <a:solidFill>
                  <a:schemeClr val="accent2">
                    <a:lumMod val="40000"/>
                    <a:lumOff val="60000"/>
                  </a:schemeClr>
                </a:solidFill>
              </a:ln>
              <a:effectLst/>
            </c:spPr>
            <c:extLst>
              <c:ext xmlns:c16="http://schemas.microsoft.com/office/drawing/2014/chart" uri="{C3380CC4-5D6E-409C-BE32-E72D297353CC}">
                <c16:uniqueId val="{00000002-969A-49FC-894A-13B2F2EBECFA}"/>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969A-49FC-894A-13B2F2EBECFA}"/>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4-969A-49FC-894A-13B2F2EBECFA}"/>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pivorts!$A$52:$A$55</c:f>
              <c:strCache>
                <c:ptCount val="3"/>
                <c:pt idx="0">
                  <c:v>Cincinnati</c:v>
                </c:pt>
                <c:pt idx="1">
                  <c:v>Cleveland</c:v>
                </c:pt>
                <c:pt idx="2">
                  <c:v>Columbus</c:v>
                </c:pt>
              </c:strCache>
            </c:strRef>
          </c:cat>
          <c:val>
            <c:numRef>
              <c:f>pivorts!$B$52:$B$55</c:f>
              <c:numCache>
                <c:formatCode>#,##0</c:formatCode>
                <c:ptCount val="3"/>
                <c:pt idx="0">
                  <c:v>144</c:v>
                </c:pt>
                <c:pt idx="1">
                  <c:v>326</c:v>
                </c:pt>
                <c:pt idx="2">
                  <c:v>129</c:v>
                </c:pt>
              </c:numCache>
            </c:numRef>
          </c:val>
          <c:extLst>
            <c:ext xmlns:c16="http://schemas.microsoft.com/office/drawing/2014/chart" uri="{C3380CC4-5D6E-409C-BE32-E72D297353CC}">
              <c16:uniqueId val="{00000000-969A-49FC-894A-13B2F2EBECFA}"/>
            </c:ext>
          </c:extLst>
        </c:ser>
        <c:ser>
          <c:idx val="1"/>
          <c:order val="1"/>
          <c:tx>
            <c:strRef>
              <c:f>pivorts!$C$50:$C$51</c:f>
              <c:strCache>
                <c:ptCount val="1"/>
                <c:pt idx="0">
                  <c:v>Male</c:v>
                </c:pt>
              </c:strCache>
            </c:strRef>
          </c:tx>
          <c:spPr>
            <a:solidFill>
              <a:schemeClr val="accent4"/>
            </a:solidFill>
            <a:ln>
              <a:solidFill>
                <a:schemeClr val="accent4"/>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pivorts!$A$52:$A$55</c:f>
              <c:strCache>
                <c:ptCount val="3"/>
                <c:pt idx="0">
                  <c:v>Cincinnati</c:v>
                </c:pt>
                <c:pt idx="1">
                  <c:v>Cleveland</c:v>
                </c:pt>
                <c:pt idx="2">
                  <c:v>Columbus</c:v>
                </c:pt>
              </c:strCache>
            </c:strRef>
          </c:cat>
          <c:val>
            <c:numRef>
              <c:f>pivorts!$C$52:$C$55</c:f>
              <c:numCache>
                <c:formatCode>#,##0</c:formatCode>
                <c:ptCount val="3"/>
                <c:pt idx="0">
                  <c:v>132</c:v>
                </c:pt>
                <c:pt idx="1">
                  <c:v>63</c:v>
                </c:pt>
                <c:pt idx="2">
                  <c:v>206</c:v>
                </c:pt>
              </c:numCache>
            </c:numRef>
          </c:val>
          <c:extLst>
            <c:ext xmlns:c16="http://schemas.microsoft.com/office/drawing/2014/chart" uri="{C3380CC4-5D6E-409C-BE32-E72D297353CC}">
              <c16:uniqueId val="{00000001-969A-49FC-894A-13B2F2EBECFA}"/>
            </c:ext>
          </c:extLst>
        </c:ser>
        <c:dLbls>
          <c:dLblPos val="ctr"/>
          <c:showLegendKey val="0"/>
          <c:showVal val="1"/>
          <c:showCatName val="0"/>
          <c:showSerName val="0"/>
          <c:showPercent val="0"/>
          <c:showBubbleSize val="0"/>
        </c:dLbls>
        <c:gapWidth val="25"/>
        <c:overlap val="100"/>
        <c:axId val="1874032399"/>
        <c:axId val="1874027119"/>
      </c:barChart>
      <c:catAx>
        <c:axId val="18740323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027119"/>
        <c:crosses val="autoZero"/>
        <c:auto val="1"/>
        <c:lblAlgn val="ctr"/>
        <c:lblOffset val="100"/>
        <c:noMultiLvlLbl val="0"/>
      </c:catAx>
      <c:valAx>
        <c:axId val="1874027119"/>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03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25" r="0.25" t="0.75" header="0.3" footer="0.3"/>
    <c:pageSetup orientation="portrait"/>
  </c:printSettings>
  <c:extLst>
    <c:ext xmlns:c14="http://schemas.microsoft.com/office/drawing/2007/8/2/chart" uri="{781A3756-C4B2-4CAC-9D66-4F8BD8637D16}">
      <c14:pivotOptions>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trend report.xlsx]pivorts!rep satisfaction</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2"/>
                </a:solidFill>
              </a:rPr>
              <a:t>RATING</a:t>
            </a:r>
            <a:r>
              <a:rPr lang="en-IN"/>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pivorts!$B$58</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pivorts!$A$59:$A$65</c:f>
              <c:strCache>
                <c:ptCount val="6"/>
                <c:pt idx="0">
                  <c:v>0</c:v>
                </c:pt>
                <c:pt idx="1">
                  <c:v>1</c:v>
                </c:pt>
                <c:pt idx="2">
                  <c:v>2</c:v>
                </c:pt>
                <c:pt idx="3">
                  <c:v>3</c:v>
                </c:pt>
                <c:pt idx="4">
                  <c:v>4</c:v>
                </c:pt>
                <c:pt idx="5">
                  <c:v>5</c:v>
                </c:pt>
              </c:strCache>
            </c:strRef>
          </c:cat>
          <c:val>
            <c:numRef>
              <c:f>pivorts!$B$59:$B$65</c:f>
              <c:numCache>
                <c:formatCode>#,##0</c:formatCode>
                <c:ptCount val="6"/>
                <c:pt idx="0">
                  <c:v>1</c:v>
                </c:pt>
                <c:pt idx="1">
                  <c:v>1</c:v>
                </c:pt>
                <c:pt idx="2">
                  <c:v>11</c:v>
                </c:pt>
                <c:pt idx="3">
                  <c:v>46</c:v>
                </c:pt>
                <c:pt idx="4">
                  <c:v>88</c:v>
                </c:pt>
                <c:pt idx="5">
                  <c:v>60</c:v>
                </c:pt>
              </c:numCache>
            </c:numRef>
          </c:val>
          <c:extLst>
            <c:ext xmlns:c16="http://schemas.microsoft.com/office/drawing/2014/chart" uri="{C3380CC4-5D6E-409C-BE32-E72D297353CC}">
              <c16:uniqueId val="{00000000-07A5-4E1A-8CEE-B47B2398E193}"/>
            </c:ext>
          </c:extLst>
        </c:ser>
        <c:dLbls>
          <c:dLblPos val="outEnd"/>
          <c:showLegendKey val="0"/>
          <c:showVal val="1"/>
          <c:showCatName val="0"/>
          <c:showSerName val="0"/>
          <c:showPercent val="0"/>
          <c:showBubbleSize val="0"/>
        </c:dLbls>
        <c:gapWidth val="10"/>
        <c:overlap val="-27"/>
        <c:axId val="1780733951"/>
        <c:axId val="868849375"/>
      </c:barChart>
      <c:catAx>
        <c:axId val="178073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849375"/>
        <c:crosses val="autoZero"/>
        <c:auto val="1"/>
        <c:lblAlgn val="ctr"/>
        <c:lblOffset val="100"/>
        <c:noMultiLvlLbl val="0"/>
      </c:catAx>
      <c:valAx>
        <c:axId val="8688493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73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8.sv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1</xdr:col>
      <xdr:colOff>12700</xdr:colOff>
      <xdr:row>2</xdr:row>
      <xdr:rowOff>95250</xdr:rowOff>
    </xdr:from>
    <xdr:to>
      <xdr:col>2</xdr:col>
      <xdr:colOff>539750</xdr:colOff>
      <xdr:row>6</xdr:row>
      <xdr:rowOff>171450</xdr:rowOff>
    </xdr:to>
    <xdr:sp macro="" textlink="pivorts!A4">
      <xdr:nvSpPr>
        <xdr:cNvPr id="2" name="Rectangle 1">
          <a:extLst>
            <a:ext uri="{FF2B5EF4-FFF2-40B4-BE49-F238E27FC236}">
              <a16:creationId xmlns:a16="http://schemas.microsoft.com/office/drawing/2014/main" id="{853E3E15-8388-D101-D3C1-0FFCA1866E6E}"/>
            </a:ext>
          </a:extLst>
        </xdr:cNvPr>
        <xdr:cNvSpPr/>
      </xdr:nvSpPr>
      <xdr:spPr>
        <a:xfrm>
          <a:off x="571500" y="463550"/>
          <a:ext cx="1041400" cy="812800"/>
        </a:xfrm>
        <a:prstGeom prst="rect">
          <a:avLst/>
        </a:prstGeom>
        <a:effectLst>
          <a:outerShdw blurRad="50800" dist="38100" dir="2700000" algn="tl" rotWithShape="0">
            <a:prstClr val="black">
              <a:alpha val="40000"/>
            </a:prst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fld id="{FFDEA90D-10CE-4E7C-96D5-D1D6043B6895}" type="TxLink">
            <a:rPr lang="en-US" sz="2400" b="0" i="0" u="none" strike="noStrike">
              <a:solidFill>
                <a:schemeClr val="bg1"/>
              </a:solidFill>
              <a:latin typeface="+mj-lt"/>
            </a:rPr>
            <a:pPr algn="ctr"/>
            <a:t>1,000</a:t>
          </a:fld>
          <a:endParaRPr lang="en-IN" sz="2400">
            <a:solidFill>
              <a:schemeClr val="bg1"/>
            </a:solidFill>
            <a:latin typeface="+mj-lt"/>
          </a:endParaRPr>
        </a:p>
      </xdr:txBody>
    </xdr:sp>
    <xdr:clientData/>
  </xdr:twoCellAnchor>
  <xdr:twoCellAnchor>
    <xdr:from>
      <xdr:col>1</xdr:col>
      <xdr:colOff>171451</xdr:colOff>
      <xdr:row>2</xdr:row>
      <xdr:rowOff>114300</xdr:rowOff>
    </xdr:from>
    <xdr:to>
      <xdr:col>2</xdr:col>
      <xdr:colOff>514351</xdr:colOff>
      <xdr:row>3</xdr:row>
      <xdr:rowOff>177800</xdr:rowOff>
    </xdr:to>
    <xdr:sp macro="" textlink="">
      <xdr:nvSpPr>
        <xdr:cNvPr id="4" name="TextBox 3">
          <a:extLst>
            <a:ext uri="{FF2B5EF4-FFF2-40B4-BE49-F238E27FC236}">
              <a16:creationId xmlns:a16="http://schemas.microsoft.com/office/drawing/2014/main" id="{C601C380-944E-EE47-57C6-3925CD8DC74B}"/>
            </a:ext>
          </a:extLst>
        </xdr:cNvPr>
        <xdr:cNvSpPr txBox="1"/>
      </xdr:nvSpPr>
      <xdr:spPr>
        <a:xfrm>
          <a:off x="730251" y="482600"/>
          <a:ext cx="857250" cy="247650"/>
        </a:xfrm>
        <a:prstGeom prst="rect">
          <a:avLst/>
        </a:prstGeom>
        <a:solidFill>
          <a:schemeClr val="accent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mj-lt"/>
            </a:rPr>
            <a:t>  </a:t>
          </a:r>
          <a:r>
            <a:rPr lang="en-IN" sz="1400">
              <a:solidFill>
                <a:schemeClr val="bg1"/>
              </a:solidFill>
              <a:latin typeface="+mj-lt"/>
            </a:rPr>
            <a:t>calls</a:t>
          </a:r>
        </a:p>
      </xdr:txBody>
    </xdr:sp>
    <xdr:clientData/>
  </xdr:twoCellAnchor>
  <xdr:twoCellAnchor editAs="oneCell">
    <xdr:from>
      <xdr:col>1</xdr:col>
      <xdr:colOff>118476</xdr:colOff>
      <xdr:row>2</xdr:row>
      <xdr:rowOff>166428</xdr:rowOff>
    </xdr:from>
    <xdr:to>
      <xdr:col>1</xdr:col>
      <xdr:colOff>342107</xdr:colOff>
      <xdr:row>4</xdr:row>
      <xdr:rowOff>12715</xdr:rowOff>
    </xdr:to>
    <xdr:pic>
      <xdr:nvPicPr>
        <xdr:cNvPr id="5" name="Graphic 4" descr="Receiver with solid fill">
          <a:extLst>
            <a:ext uri="{FF2B5EF4-FFF2-40B4-BE49-F238E27FC236}">
              <a16:creationId xmlns:a16="http://schemas.microsoft.com/office/drawing/2014/main" id="{FAF2F0EE-30FB-497D-B44C-A8DC5CEE1E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2411536">
          <a:off x="677276" y="534728"/>
          <a:ext cx="223631" cy="214587"/>
        </a:xfrm>
        <a:prstGeom prst="rect">
          <a:avLst/>
        </a:prstGeom>
      </xdr:spPr>
    </xdr:pic>
    <xdr:clientData/>
  </xdr:twoCellAnchor>
  <xdr:twoCellAnchor>
    <xdr:from>
      <xdr:col>1</xdr:col>
      <xdr:colOff>63500</xdr:colOff>
      <xdr:row>5</xdr:row>
      <xdr:rowOff>139700</xdr:rowOff>
    </xdr:from>
    <xdr:to>
      <xdr:col>2</xdr:col>
      <xdr:colOff>381000</xdr:colOff>
      <xdr:row>6</xdr:row>
      <xdr:rowOff>165100</xdr:rowOff>
    </xdr:to>
    <xdr:sp macro="" textlink="pivorts!A9">
      <xdr:nvSpPr>
        <xdr:cNvPr id="6" name="TextBox 5">
          <a:extLst>
            <a:ext uri="{FF2B5EF4-FFF2-40B4-BE49-F238E27FC236}">
              <a16:creationId xmlns:a16="http://schemas.microsoft.com/office/drawing/2014/main" id="{BF9CB8AB-294E-91D0-50B2-C2BBC00F64A7}"/>
            </a:ext>
          </a:extLst>
        </xdr:cNvPr>
        <xdr:cNvSpPr txBox="1"/>
      </xdr:nvSpPr>
      <xdr:spPr>
        <a:xfrm>
          <a:off x="622300" y="1060450"/>
          <a:ext cx="831850" cy="209550"/>
        </a:xfrm>
        <a:prstGeom prst="rect">
          <a:avLst/>
        </a:prstGeom>
        <a:solidFill>
          <a:schemeClr val="accent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90826D-2BBC-419D-9F6E-DD6553F5DD46}" type="TxLink">
            <a:rPr lang="en-US" sz="1400" b="0" i="0" u="none" strike="noStrike">
              <a:solidFill>
                <a:schemeClr val="bg1"/>
              </a:solidFill>
              <a:latin typeface="+mj-lt"/>
            </a:rPr>
            <a:pPr algn="ctr"/>
            <a:t>207</a:t>
          </a:fld>
          <a:endParaRPr lang="en-IN" sz="1400">
            <a:solidFill>
              <a:schemeClr val="bg1"/>
            </a:solidFill>
            <a:latin typeface="+mj-lt"/>
          </a:endParaRPr>
        </a:p>
      </xdr:txBody>
    </xdr:sp>
    <xdr:clientData/>
  </xdr:twoCellAnchor>
  <xdr:twoCellAnchor>
    <xdr:from>
      <xdr:col>1</xdr:col>
      <xdr:colOff>0</xdr:colOff>
      <xdr:row>8</xdr:row>
      <xdr:rowOff>0</xdr:rowOff>
    </xdr:from>
    <xdr:to>
      <xdr:col>2</xdr:col>
      <xdr:colOff>527050</xdr:colOff>
      <xdr:row>12</xdr:row>
      <xdr:rowOff>76200</xdr:rowOff>
    </xdr:to>
    <xdr:sp macro="" textlink="pivorts!B4">
      <xdr:nvSpPr>
        <xdr:cNvPr id="18" name="Rectangle 17">
          <a:extLst>
            <a:ext uri="{FF2B5EF4-FFF2-40B4-BE49-F238E27FC236}">
              <a16:creationId xmlns:a16="http://schemas.microsoft.com/office/drawing/2014/main" id="{8A0241F8-5D9C-4A81-ABBC-E412BD085AD3}"/>
            </a:ext>
          </a:extLst>
        </xdr:cNvPr>
        <xdr:cNvSpPr/>
      </xdr:nvSpPr>
      <xdr:spPr>
        <a:xfrm>
          <a:off x="558800" y="1473200"/>
          <a:ext cx="1041400" cy="812800"/>
        </a:xfrm>
        <a:prstGeom prst="rect">
          <a:avLst/>
        </a:prstGeom>
        <a:effectLst>
          <a:outerShdw blurRad="50800" dist="38100" dir="2700000" algn="tl" rotWithShape="0">
            <a:prstClr val="black">
              <a:alpha val="40000"/>
            </a:prst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marL="0" indent="0" algn="ctr"/>
          <a:fld id="{BBEB2AA0-E647-4AFC-94EF-2ED898A8B016}" type="TxLink">
            <a:rPr lang="en-US" sz="1800" b="0" i="0" u="none" strike="noStrike">
              <a:solidFill>
                <a:schemeClr val="bg1"/>
              </a:solidFill>
              <a:latin typeface="+mj-lt"/>
              <a:ea typeface="+mn-ea"/>
              <a:cs typeface="+mn-cs"/>
            </a:rPr>
            <a:pPr marL="0" indent="0" algn="ctr"/>
            <a:t>$96,623</a:t>
          </a:fld>
          <a:endParaRPr lang="en-IN" sz="1800" b="0" i="0" u="none" strike="noStrike">
            <a:solidFill>
              <a:schemeClr val="bg1"/>
            </a:solidFill>
            <a:latin typeface="+mj-lt"/>
            <a:ea typeface="+mn-ea"/>
            <a:cs typeface="+mn-cs"/>
          </a:endParaRPr>
        </a:p>
      </xdr:txBody>
    </xdr:sp>
    <xdr:clientData/>
  </xdr:twoCellAnchor>
  <xdr:twoCellAnchor>
    <xdr:from>
      <xdr:col>1</xdr:col>
      <xdr:colOff>120651</xdr:colOff>
      <xdr:row>8</xdr:row>
      <xdr:rowOff>31750</xdr:rowOff>
    </xdr:from>
    <xdr:to>
      <xdr:col>2</xdr:col>
      <xdr:colOff>463551</xdr:colOff>
      <xdr:row>9</xdr:row>
      <xdr:rowOff>95250</xdr:rowOff>
    </xdr:to>
    <xdr:sp macro="" textlink="">
      <xdr:nvSpPr>
        <xdr:cNvPr id="19" name="TextBox 18">
          <a:extLst>
            <a:ext uri="{FF2B5EF4-FFF2-40B4-BE49-F238E27FC236}">
              <a16:creationId xmlns:a16="http://schemas.microsoft.com/office/drawing/2014/main" id="{EA226AEC-C4D1-4722-A79A-6DA6D6F3130B}"/>
            </a:ext>
          </a:extLst>
        </xdr:cNvPr>
        <xdr:cNvSpPr txBox="1"/>
      </xdr:nvSpPr>
      <xdr:spPr>
        <a:xfrm>
          <a:off x="679451" y="1504950"/>
          <a:ext cx="857250" cy="247650"/>
        </a:xfrm>
        <a:prstGeom prst="rect">
          <a:avLst/>
        </a:prstGeom>
        <a:solidFill>
          <a:schemeClr val="accent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mj-lt"/>
            </a:rPr>
            <a:t>Amount</a:t>
          </a:r>
        </a:p>
        <a:p>
          <a:endParaRPr lang="en-IN" sz="1400">
            <a:solidFill>
              <a:schemeClr val="bg1"/>
            </a:solidFill>
            <a:latin typeface="+mj-lt"/>
          </a:endParaRPr>
        </a:p>
      </xdr:txBody>
    </xdr:sp>
    <xdr:clientData/>
  </xdr:twoCellAnchor>
  <xdr:twoCellAnchor>
    <xdr:from>
      <xdr:col>1</xdr:col>
      <xdr:colOff>120650</xdr:colOff>
      <xdr:row>11</xdr:row>
      <xdr:rowOff>38100</xdr:rowOff>
    </xdr:from>
    <xdr:to>
      <xdr:col>2</xdr:col>
      <xdr:colOff>438150</xdr:colOff>
      <xdr:row>12</xdr:row>
      <xdr:rowOff>63500</xdr:rowOff>
    </xdr:to>
    <xdr:sp macro="" textlink="pivorts!B9">
      <xdr:nvSpPr>
        <xdr:cNvPr id="21" name="TextBox 20">
          <a:extLst>
            <a:ext uri="{FF2B5EF4-FFF2-40B4-BE49-F238E27FC236}">
              <a16:creationId xmlns:a16="http://schemas.microsoft.com/office/drawing/2014/main" id="{11124BD6-D6AC-4042-A99F-0B44E81FADD7}"/>
            </a:ext>
          </a:extLst>
        </xdr:cNvPr>
        <xdr:cNvSpPr txBox="1"/>
      </xdr:nvSpPr>
      <xdr:spPr>
        <a:xfrm>
          <a:off x="679450" y="2063750"/>
          <a:ext cx="831850" cy="209550"/>
        </a:xfrm>
        <a:prstGeom prst="rect">
          <a:avLst/>
        </a:prstGeom>
        <a:solidFill>
          <a:schemeClr val="accent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6AFEBA-41BC-4646-8948-728D467CA433}" type="TxLink">
            <a:rPr lang="en-US" sz="1100" b="1" i="0" u="none" strike="noStrike">
              <a:solidFill>
                <a:schemeClr val="bg1"/>
              </a:solidFill>
              <a:latin typeface="Aptos"/>
            </a:rPr>
            <a:pPr algn="ctr"/>
            <a:t>$20,872</a:t>
          </a:fld>
          <a:endParaRPr lang="en-IN" sz="1400" b="1">
            <a:solidFill>
              <a:schemeClr val="bg1"/>
            </a:solidFill>
            <a:latin typeface="+mj-lt"/>
          </a:endParaRPr>
        </a:p>
      </xdr:txBody>
    </xdr:sp>
    <xdr:clientData/>
  </xdr:twoCellAnchor>
  <xdr:twoCellAnchor>
    <xdr:from>
      <xdr:col>1</xdr:col>
      <xdr:colOff>6350</xdr:colOff>
      <xdr:row>13</xdr:row>
      <xdr:rowOff>177800</xdr:rowOff>
    </xdr:from>
    <xdr:to>
      <xdr:col>2</xdr:col>
      <xdr:colOff>533400</xdr:colOff>
      <xdr:row>18</xdr:row>
      <xdr:rowOff>69850</xdr:rowOff>
    </xdr:to>
    <xdr:sp macro="" textlink="pivorts!C4">
      <xdr:nvSpPr>
        <xdr:cNvPr id="22" name="Rectangle 21">
          <a:extLst>
            <a:ext uri="{FF2B5EF4-FFF2-40B4-BE49-F238E27FC236}">
              <a16:creationId xmlns:a16="http://schemas.microsoft.com/office/drawing/2014/main" id="{C324EFE9-23B3-420D-A098-8666F7C391C1}"/>
            </a:ext>
          </a:extLst>
        </xdr:cNvPr>
        <xdr:cNvSpPr/>
      </xdr:nvSpPr>
      <xdr:spPr>
        <a:xfrm>
          <a:off x="565150" y="2571750"/>
          <a:ext cx="1041400" cy="812800"/>
        </a:xfrm>
        <a:prstGeom prst="rect">
          <a:avLst/>
        </a:prstGeom>
        <a:effectLst>
          <a:outerShdw blurRad="50800" dist="38100" dir="2700000" algn="tl" rotWithShape="0">
            <a:prstClr val="black">
              <a:alpha val="40000"/>
            </a:prst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marL="0" indent="0" algn="ctr"/>
          <a:fld id="{C1B11025-C480-451F-BAFA-074BDF76C56E}" type="TxLink">
            <a:rPr lang="en-US" sz="2000" b="0" i="0" u="none" strike="noStrike">
              <a:solidFill>
                <a:schemeClr val="bg1"/>
              </a:solidFill>
              <a:latin typeface="+mj-lt"/>
              <a:ea typeface="+mn-ea"/>
              <a:cs typeface="+mn-cs"/>
            </a:rPr>
            <a:pPr marL="0" indent="0" algn="ctr"/>
            <a:t>89,850</a:t>
          </a:fld>
          <a:endParaRPr lang="en-IN" sz="2000" b="0" i="0" u="none" strike="noStrike">
            <a:solidFill>
              <a:schemeClr val="bg1"/>
            </a:solidFill>
            <a:latin typeface="+mj-lt"/>
            <a:ea typeface="+mn-ea"/>
            <a:cs typeface="+mn-cs"/>
          </a:endParaRPr>
        </a:p>
      </xdr:txBody>
    </xdr:sp>
    <xdr:clientData/>
  </xdr:twoCellAnchor>
  <xdr:twoCellAnchor>
    <xdr:from>
      <xdr:col>1</xdr:col>
      <xdr:colOff>120651</xdr:colOff>
      <xdr:row>14</xdr:row>
      <xdr:rowOff>31750</xdr:rowOff>
    </xdr:from>
    <xdr:to>
      <xdr:col>2</xdr:col>
      <xdr:colOff>463551</xdr:colOff>
      <xdr:row>15</xdr:row>
      <xdr:rowOff>95250</xdr:rowOff>
    </xdr:to>
    <xdr:sp macro="" textlink="">
      <xdr:nvSpPr>
        <xdr:cNvPr id="23" name="TextBox 22">
          <a:extLst>
            <a:ext uri="{FF2B5EF4-FFF2-40B4-BE49-F238E27FC236}">
              <a16:creationId xmlns:a16="http://schemas.microsoft.com/office/drawing/2014/main" id="{D59D67BE-6C64-44E9-8910-2DAD6AF2340C}"/>
            </a:ext>
          </a:extLst>
        </xdr:cNvPr>
        <xdr:cNvSpPr txBox="1"/>
      </xdr:nvSpPr>
      <xdr:spPr>
        <a:xfrm>
          <a:off x="679451" y="2609850"/>
          <a:ext cx="857250" cy="247650"/>
        </a:xfrm>
        <a:prstGeom prst="rect">
          <a:avLst/>
        </a:prstGeom>
        <a:solidFill>
          <a:schemeClr val="accent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mj-lt"/>
            </a:rPr>
            <a:t> Duration</a:t>
          </a:r>
          <a:endParaRPr lang="en-IN" sz="1400">
            <a:solidFill>
              <a:schemeClr val="bg1"/>
            </a:solidFill>
            <a:latin typeface="+mj-lt"/>
          </a:endParaRPr>
        </a:p>
      </xdr:txBody>
    </xdr:sp>
    <xdr:clientData/>
  </xdr:twoCellAnchor>
  <xdr:twoCellAnchor>
    <xdr:from>
      <xdr:col>1</xdr:col>
      <xdr:colOff>120650</xdr:colOff>
      <xdr:row>17</xdr:row>
      <xdr:rowOff>38100</xdr:rowOff>
    </xdr:from>
    <xdr:to>
      <xdr:col>2</xdr:col>
      <xdr:colOff>438150</xdr:colOff>
      <xdr:row>18</xdr:row>
      <xdr:rowOff>63500</xdr:rowOff>
    </xdr:to>
    <xdr:sp macro="" textlink="pivorts!C9">
      <xdr:nvSpPr>
        <xdr:cNvPr id="25" name="TextBox 24">
          <a:extLst>
            <a:ext uri="{FF2B5EF4-FFF2-40B4-BE49-F238E27FC236}">
              <a16:creationId xmlns:a16="http://schemas.microsoft.com/office/drawing/2014/main" id="{0BE1BF16-0C2D-4075-B8CD-B0A97CEB89BA}"/>
            </a:ext>
          </a:extLst>
        </xdr:cNvPr>
        <xdr:cNvSpPr txBox="1"/>
      </xdr:nvSpPr>
      <xdr:spPr>
        <a:xfrm>
          <a:off x="679450" y="3168650"/>
          <a:ext cx="831850" cy="209550"/>
        </a:xfrm>
        <a:prstGeom prst="rect">
          <a:avLst/>
        </a:prstGeom>
        <a:solidFill>
          <a:schemeClr val="accent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27FB0C3-37B3-4514-992F-5E4FBEDDF9A6}" type="TxLink">
            <a:rPr lang="en-US" sz="1100" b="1" i="0" u="none" strike="noStrike">
              <a:solidFill>
                <a:schemeClr val="bg1"/>
              </a:solidFill>
              <a:latin typeface="Aptos"/>
            </a:rPr>
            <a:pPr algn="ctr"/>
            <a:t>17,700</a:t>
          </a:fld>
          <a:endParaRPr lang="en-IN" sz="1400" b="1">
            <a:solidFill>
              <a:schemeClr val="bg1"/>
            </a:solidFill>
            <a:latin typeface="+mj-lt"/>
          </a:endParaRPr>
        </a:p>
      </xdr:txBody>
    </xdr:sp>
    <xdr:clientData/>
  </xdr:twoCellAnchor>
  <xdr:twoCellAnchor>
    <xdr:from>
      <xdr:col>1</xdr:col>
      <xdr:colOff>0</xdr:colOff>
      <xdr:row>20</xdr:row>
      <xdr:rowOff>0</xdr:rowOff>
    </xdr:from>
    <xdr:to>
      <xdr:col>2</xdr:col>
      <xdr:colOff>527050</xdr:colOff>
      <xdr:row>24</xdr:row>
      <xdr:rowOff>76200</xdr:rowOff>
    </xdr:to>
    <xdr:sp macro="" textlink="pivorts!G26">
      <xdr:nvSpPr>
        <xdr:cNvPr id="26" name="Rectangle 25">
          <a:extLst>
            <a:ext uri="{FF2B5EF4-FFF2-40B4-BE49-F238E27FC236}">
              <a16:creationId xmlns:a16="http://schemas.microsoft.com/office/drawing/2014/main" id="{89B54188-EAAD-4D25-9B28-1DD535DF1D11}"/>
            </a:ext>
          </a:extLst>
        </xdr:cNvPr>
        <xdr:cNvSpPr/>
      </xdr:nvSpPr>
      <xdr:spPr>
        <a:xfrm>
          <a:off x="558800" y="3683000"/>
          <a:ext cx="1041400" cy="812800"/>
        </a:xfrm>
        <a:prstGeom prst="rect">
          <a:avLst/>
        </a:prstGeom>
        <a:effectLst>
          <a:outerShdw blurRad="50800" dist="38100" dir="2700000" algn="tl" rotWithShape="0">
            <a:prstClr val="black">
              <a:alpha val="40000"/>
            </a:prst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marL="0" indent="0" algn="ctr"/>
          <a:endParaRPr lang="en-IN" sz="1200" b="0" i="0" u="none" strike="noStrike">
            <a:solidFill>
              <a:schemeClr val="bg1"/>
            </a:solidFill>
            <a:latin typeface="+mj-lt"/>
            <a:ea typeface="+mn-ea"/>
            <a:cs typeface="+mn-cs"/>
          </a:endParaRPr>
        </a:p>
      </xdr:txBody>
    </xdr:sp>
    <xdr:clientData/>
  </xdr:twoCellAnchor>
  <xdr:twoCellAnchor>
    <xdr:from>
      <xdr:col>1</xdr:col>
      <xdr:colOff>120651</xdr:colOff>
      <xdr:row>20</xdr:row>
      <xdr:rowOff>31750</xdr:rowOff>
    </xdr:from>
    <xdr:to>
      <xdr:col>2</xdr:col>
      <xdr:colOff>463551</xdr:colOff>
      <xdr:row>21</xdr:row>
      <xdr:rowOff>95250</xdr:rowOff>
    </xdr:to>
    <xdr:sp macro="" textlink="">
      <xdr:nvSpPr>
        <xdr:cNvPr id="27" name="TextBox 26">
          <a:extLst>
            <a:ext uri="{FF2B5EF4-FFF2-40B4-BE49-F238E27FC236}">
              <a16:creationId xmlns:a16="http://schemas.microsoft.com/office/drawing/2014/main" id="{BB7CFDEE-5D0B-447F-A16A-822D37F76782}"/>
            </a:ext>
          </a:extLst>
        </xdr:cNvPr>
        <xdr:cNvSpPr txBox="1"/>
      </xdr:nvSpPr>
      <xdr:spPr>
        <a:xfrm>
          <a:off x="679451" y="3714750"/>
          <a:ext cx="857250" cy="247650"/>
        </a:xfrm>
        <a:prstGeom prst="rect">
          <a:avLst/>
        </a:prstGeom>
        <a:solidFill>
          <a:schemeClr val="accent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latin typeface="+mj-lt"/>
            </a:rPr>
            <a:t>  A.Rating</a:t>
          </a:r>
        </a:p>
      </xdr:txBody>
    </xdr:sp>
    <xdr:clientData/>
  </xdr:twoCellAnchor>
  <xdr:twoCellAnchor>
    <xdr:from>
      <xdr:col>1</xdr:col>
      <xdr:colOff>120650</xdr:colOff>
      <xdr:row>23</xdr:row>
      <xdr:rowOff>38100</xdr:rowOff>
    </xdr:from>
    <xdr:to>
      <xdr:col>2</xdr:col>
      <xdr:colOff>438150</xdr:colOff>
      <xdr:row>24</xdr:row>
      <xdr:rowOff>63500</xdr:rowOff>
    </xdr:to>
    <xdr:sp macro="" textlink="pivorts!D9">
      <xdr:nvSpPr>
        <xdr:cNvPr id="29" name="TextBox 28">
          <a:extLst>
            <a:ext uri="{FF2B5EF4-FFF2-40B4-BE49-F238E27FC236}">
              <a16:creationId xmlns:a16="http://schemas.microsoft.com/office/drawing/2014/main" id="{CD5AE735-1FDE-4C77-A7E8-6342F3199197}"/>
            </a:ext>
          </a:extLst>
        </xdr:cNvPr>
        <xdr:cNvSpPr txBox="1"/>
      </xdr:nvSpPr>
      <xdr:spPr>
        <a:xfrm>
          <a:off x="679450" y="4273550"/>
          <a:ext cx="831850" cy="209550"/>
        </a:xfrm>
        <a:prstGeom prst="rect">
          <a:avLst/>
        </a:prstGeom>
        <a:solidFill>
          <a:schemeClr val="accent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2BA7B8D-C045-4D92-9336-9749FDE4F663}" type="TxLink">
            <a:rPr lang="en-US" sz="1100" b="1" i="0" u="none" strike="noStrike">
              <a:solidFill>
                <a:schemeClr val="bg1"/>
              </a:solidFill>
              <a:latin typeface="Aptos"/>
            </a:rPr>
            <a:pPr algn="ctr"/>
            <a:t>3.9</a:t>
          </a:fld>
          <a:endParaRPr lang="en-IN" sz="1400" b="1">
            <a:solidFill>
              <a:schemeClr val="bg1"/>
            </a:solidFill>
            <a:latin typeface="+mj-lt"/>
          </a:endParaRPr>
        </a:p>
      </xdr:txBody>
    </xdr:sp>
    <xdr:clientData/>
  </xdr:twoCellAnchor>
  <xdr:twoCellAnchor>
    <xdr:from>
      <xdr:col>1</xdr:col>
      <xdr:colOff>0</xdr:colOff>
      <xdr:row>26</xdr:row>
      <xdr:rowOff>0</xdr:rowOff>
    </xdr:from>
    <xdr:to>
      <xdr:col>2</xdr:col>
      <xdr:colOff>527050</xdr:colOff>
      <xdr:row>30</xdr:row>
      <xdr:rowOff>76200</xdr:rowOff>
    </xdr:to>
    <xdr:sp macro="" textlink="pivorts!E4">
      <xdr:nvSpPr>
        <xdr:cNvPr id="30" name="Rectangle 29">
          <a:extLst>
            <a:ext uri="{FF2B5EF4-FFF2-40B4-BE49-F238E27FC236}">
              <a16:creationId xmlns:a16="http://schemas.microsoft.com/office/drawing/2014/main" id="{1622337E-BCCC-43AA-B6A9-AFD25C3997EE}"/>
            </a:ext>
          </a:extLst>
        </xdr:cNvPr>
        <xdr:cNvSpPr/>
      </xdr:nvSpPr>
      <xdr:spPr>
        <a:xfrm>
          <a:off x="558800" y="4787900"/>
          <a:ext cx="1041400" cy="812800"/>
        </a:xfrm>
        <a:prstGeom prst="rect">
          <a:avLst/>
        </a:prstGeom>
        <a:effectLst>
          <a:outerShdw blurRad="50800" dist="38100" dir="2700000" algn="tl" rotWithShape="0">
            <a:prstClr val="black">
              <a:alpha val="40000"/>
            </a:prst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marL="0" indent="0" algn="ctr"/>
          <a:fld id="{A064128D-98C9-4EEA-A270-C37213F92836}" type="TxLink">
            <a:rPr lang="en-US" sz="2000" b="0" i="0" u="none" strike="noStrike">
              <a:solidFill>
                <a:schemeClr val="bg1"/>
              </a:solidFill>
              <a:latin typeface="+mj-lt"/>
              <a:ea typeface="+mn-ea"/>
              <a:cs typeface="+mn-cs"/>
            </a:rPr>
            <a:pPr marL="0" indent="0" algn="ctr"/>
            <a:t>307</a:t>
          </a:fld>
          <a:endParaRPr lang="en-IN" sz="2000" b="0" i="0" u="none" strike="noStrike">
            <a:solidFill>
              <a:schemeClr val="bg1"/>
            </a:solidFill>
            <a:latin typeface="+mj-lt"/>
            <a:ea typeface="+mn-ea"/>
            <a:cs typeface="+mn-cs"/>
          </a:endParaRPr>
        </a:p>
      </xdr:txBody>
    </xdr:sp>
    <xdr:clientData/>
  </xdr:twoCellAnchor>
  <xdr:twoCellAnchor>
    <xdr:from>
      <xdr:col>1</xdr:col>
      <xdr:colOff>120651</xdr:colOff>
      <xdr:row>26</xdr:row>
      <xdr:rowOff>31750</xdr:rowOff>
    </xdr:from>
    <xdr:to>
      <xdr:col>2</xdr:col>
      <xdr:colOff>463551</xdr:colOff>
      <xdr:row>27</xdr:row>
      <xdr:rowOff>95250</xdr:rowOff>
    </xdr:to>
    <xdr:sp macro="" textlink="">
      <xdr:nvSpPr>
        <xdr:cNvPr id="31" name="TextBox 30">
          <a:extLst>
            <a:ext uri="{FF2B5EF4-FFF2-40B4-BE49-F238E27FC236}">
              <a16:creationId xmlns:a16="http://schemas.microsoft.com/office/drawing/2014/main" id="{8E8F2D6B-7994-493E-95FE-2D645226707E}"/>
            </a:ext>
          </a:extLst>
        </xdr:cNvPr>
        <xdr:cNvSpPr txBox="1"/>
      </xdr:nvSpPr>
      <xdr:spPr>
        <a:xfrm>
          <a:off x="679451" y="4819650"/>
          <a:ext cx="857250" cy="247650"/>
        </a:xfrm>
        <a:prstGeom prst="rect">
          <a:avLst/>
        </a:prstGeom>
        <a:solidFill>
          <a:schemeClr val="accent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mj-lt"/>
            </a:rPr>
            <a:t>  5*</a:t>
          </a:r>
          <a:r>
            <a:rPr lang="en-IN" sz="1200" baseline="0">
              <a:solidFill>
                <a:schemeClr val="bg1"/>
              </a:solidFill>
              <a:latin typeface="+mj-lt"/>
            </a:rPr>
            <a:t> calls</a:t>
          </a:r>
          <a:endParaRPr lang="en-IN" sz="1200">
            <a:solidFill>
              <a:schemeClr val="bg1"/>
            </a:solidFill>
            <a:latin typeface="+mj-lt"/>
          </a:endParaRPr>
        </a:p>
      </xdr:txBody>
    </xdr:sp>
    <xdr:clientData/>
  </xdr:twoCellAnchor>
  <xdr:twoCellAnchor>
    <xdr:from>
      <xdr:col>1</xdr:col>
      <xdr:colOff>120650</xdr:colOff>
      <xdr:row>29</xdr:row>
      <xdr:rowOff>38100</xdr:rowOff>
    </xdr:from>
    <xdr:to>
      <xdr:col>2</xdr:col>
      <xdr:colOff>438150</xdr:colOff>
      <xdr:row>30</xdr:row>
      <xdr:rowOff>63500</xdr:rowOff>
    </xdr:to>
    <xdr:sp macro="" textlink="pivorts!E9">
      <xdr:nvSpPr>
        <xdr:cNvPr id="33" name="TextBox 32">
          <a:extLst>
            <a:ext uri="{FF2B5EF4-FFF2-40B4-BE49-F238E27FC236}">
              <a16:creationId xmlns:a16="http://schemas.microsoft.com/office/drawing/2014/main" id="{84992E15-8119-412F-9963-6E7A0BF876EA}"/>
            </a:ext>
          </a:extLst>
        </xdr:cNvPr>
        <xdr:cNvSpPr txBox="1"/>
      </xdr:nvSpPr>
      <xdr:spPr>
        <a:xfrm>
          <a:off x="679450" y="5378450"/>
          <a:ext cx="831850" cy="209550"/>
        </a:xfrm>
        <a:prstGeom prst="rect">
          <a:avLst/>
        </a:prstGeom>
        <a:solidFill>
          <a:schemeClr val="accent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C3EF2F3-4EE9-4460-80C8-55D091FAD369}" type="TxLink">
            <a:rPr lang="en-US" sz="1100" b="1" i="0" u="none" strike="noStrike">
              <a:solidFill>
                <a:schemeClr val="bg1"/>
              </a:solidFill>
              <a:latin typeface="Aptos"/>
            </a:rPr>
            <a:pPr algn="ctr"/>
            <a:t>60</a:t>
          </a:fld>
          <a:endParaRPr lang="en-IN" sz="1400" b="1">
            <a:solidFill>
              <a:schemeClr val="bg1"/>
            </a:solidFill>
            <a:latin typeface="+mj-lt"/>
          </a:endParaRPr>
        </a:p>
      </xdr:txBody>
    </xdr:sp>
    <xdr:clientData/>
  </xdr:twoCellAnchor>
  <xdr:twoCellAnchor editAs="oneCell">
    <xdr:from>
      <xdr:col>1</xdr:col>
      <xdr:colOff>0</xdr:colOff>
      <xdr:row>14</xdr:row>
      <xdr:rowOff>69850</xdr:rowOff>
    </xdr:from>
    <xdr:to>
      <xdr:col>1</xdr:col>
      <xdr:colOff>213874</xdr:colOff>
      <xdr:row>15</xdr:row>
      <xdr:rowOff>95250</xdr:rowOff>
    </xdr:to>
    <xdr:pic>
      <xdr:nvPicPr>
        <xdr:cNvPr id="35" name="Graphic 34" descr="Hourglass Finished with solid fill">
          <a:extLst>
            <a:ext uri="{FF2B5EF4-FFF2-40B4-BE49-F238E27FC236}">
              <a16:creationId xmlns:a16="http://schemas.microsoft.com/office/drawing/2014/main" id="{15389B06-88E5-486D-9061-A0654A5CE0E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58800" y="2647950"/>
          <a:ext cx="213874" cy="209550"/>
        </a:xfrm>
        <a:prstGeom prst="rect">
          <a:avLst/>
        </a:prstGeom>
      </xdr:spPr>
    </xdr:pic>
    <xdr:clientData/>
  </xdr:twoCellAnchor>
  <xdr:twoCellAnchor editAs="oneCell">
    <xdr:from>
      <xdr:col>1</xdr:col>
      <xdr:colOff>19050</xdr:colOff>
      <xdr:row>8</xdr:row>
      <xdr:rowOff>95250</xdr:rowOff>
    </xdr:from>
    <xdr:to>
      <xdr:col>1</xdr:col>
      <xdr:colOff>194811</xdr:colOff>
      <xdr:row>9</xdr:row>
      <xdr:rowOff>76200</xdr:rowOff>
    </xdr:to>
    <xdr:pic>
      <xdr:nvPicPr>
        <xdr:cNvPr id="36" name="Graphic 35" descr="Shopping cart with solid fill">
          <a:extLst>
            <a:ext uri="{FF2B5EF4-FFF2-40B4-BE49-F238E27FC236}">
              <a16:creationId xmlns:a16="http://schemas.microsoft.com/office/drawing/2014/main" id="{74AA5D8E-F9DF-4D65-8100-4F12302858F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77850" y="1568450"/>
          <a:ext cx="175761" cy="165100"/>
        </a:xfrm>
        <a:prstGeom prst="rect">
          <a:avLst/>
        </a:prstGeom>
      </xdr:spPr>
    </xdr:pic>
    <xdr:clientData/>
  </xdr:twoCellAnchor>
  <xdr:twoCellAnchor editAs="oneCell">
    <xdr:from>
      <xdr:col>1</xdr:col>
      <xdr:colOff>0</xdr:colOff>
      <xdr:row>20</xdr:row>
      <xdr:rowOff>1</xdr:rowOff>
    </xdr:from>
    <xdr:to>
      <xdr:col>1</xdr:col>
      <xdr:colOff>264654</xdr:colOff>
      <xdr:row>21</xdr:row>
      <xdr:rowOff>69851</xdr:rowOff>
    </xdr:to>
    <xdr:pic>
      <xdr:nvPicPr>
        <xdr:cNvPr id="37" name="Graphic 36" descr="Rating Star with solid fill">
          <a:extLst>
            <a:ext uri="{FF2B5EF4-FFF2-40B4-BE49-F238E27FC236}">
              <a16:creationId xmlns:a16="http://schemas.microsoft.com/office/drawing/2014/main" id="{6A4E3526-1333-47FA-ADF3-BE904059598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558800" y="3683001"/>
          <a:ext cx="264654" cy="254000"/>
        </a:xfrm>
        <a:prstGeom prst="rect">
          <a:avLst/>
        </a:prstGeom>
      </xdr:spPr>
    </xdr:pic>
    <xdr:clientData/>
  </xdr:twoCellAnchor>
  <xdr:twoCellAnchor editAs="oneCell">
    <xdr:from>
      <xdr:col>0</xdr:col>
      <xdr:colOff>552451</xdr:colOff>
      <xdr:row>26</xdr:row>
      <xdr:rowOff>57151</xdr:rowOff>
    </xdr:from>
    <xdr:to>
      <xdr:col>1</xdr:col>
      <xdr:colOff>247650</xdr:colOff>
      <xdr:row>27</xdr:row>
      <xdr:rowOff>116729</xdr:rowOff>
    </xdr:to>
    <xdr:pic>
      <xdr:nvPicPr>
        <xdr:cNvPr id="38" name="Graphic 37" descr="Star-struck face outline with solid fill">
          <a:extLst>
            <a:ext uri="{FF2B5EF4-FFF2-40B4-BE49-F238E27FC236}">
              <a16:creationId xmlns:a16="http://schemas.microsoft.com/office/drawing/2014/main" id="{14E2156E-58D8-4C34-97A4-1906FE51ED0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52451" y="4845051"/>
          <a:ext cx="253999" cy="243728"/>
        </a:xfrm>
        <a:prstGeom prst="rect">
          <a:avLst/>
        </a:prstGeom>
      </xdr:spPr>
    </xdr:pic>
    <xdr:clientData/>
  </xdr:twoCellAnchor>
  <xdr:twoCellAnchor>
    <xdr:from>
      <xdr:col>1</xdr:col>
      <xdr:colOff>82550</xdr:colOff>
      <xdr:row>21</xdr:row>
      <xdr:rowOff>63500</xdr:rowOff>
    </xdr:from>
    <xdr:to>
      <xdr:col>2</xdr:col>
      <xdr:colOff>469900</xdr:colOff>
      <xdr:row>22</xdr:row>
      <xdr:rowOff>152400</xdr:rowOff>
    </xdr:to>
    <xdr:sp macro="" textlink="pivorts!D4">
      <xdr:nvSpPr>
        <xdr:cNvPr id="3" name="TextBox 2">
          <a:extLst>
            <a:ext uri="{FF2B5EF4-FFF2-40B4-BE49-F238E27FC236}">
              <a16:creationId xmlns:a16="http://schemas.microsoft.com/office/drawing/2014/main" id="{61F00118-0C1A-61AB-BBF8-F9AD25706619}"/>
            </a:ext>
          </a:extLst>
        </xdr:cNvPr>
        <xdr:cNvSpPr txBox="1"/>
      </xdr:nvSpPr>
      <xdr:spPr>
        <a:xfrm>
          <a:off x="641350" y="3930650"/>
          <a:ext cx="901700" cy="273050"/>
        </a:xfrm>
        <a:prstGeom prst="rect">
          <a:avLst/>
        </a:prstGeom>
        <a:noFill/>
        <a:ln>
          <a:noFill/>
        </a:ln>
        <a:effectLst>
          <a:outerShdw blurRad="50800" dist="38100" dir="2700000" algn="tl" rotWithShape="0">
            <a:prstClr val="black">
              <a:alpha val="40000"/>
            </a:prst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marL="0" indent="0" algn="ctr"/>
          <a:fld id="{F77FDE4F-E5FD-4C8A-9434-A00AF120346C}" type="TxLink">
            <a:rPr lang="en-US" sz="2000" b="0" i="0" u="none" strike="noStrike">
              <a:solidFill>
                <a:schemeClr val="bg1"/>
              </a:solidFill>
              <a:latin typeface="+mj-lt"/>
              <a:ea typeface="+mn-ea"/>
              <a:cs typeface="+mn-cs"/>
            </a:rPr>
            <a:pPr marL="0" indent="0" algn="ctr"/>
            <a:t>3.9</a:t>
          </a:fld>
          <a:endParaRPr lang="en-US" sz="2000" b="0" i="0" u="none" strike="noStrike">
            <a:solidFill>
              <a:schemeClr val="bg1"/>
            </a:solidFill>
            <a:latin typeface="+mj-lt"/>
            <a:ea typeface="+mn-ea"/>
            <a:cs typeface="+mn-cs"/>
          </a:endParaRPr>
        </a:p>
      </xdr:txBody>
    </xdr:sp>
    <xdr:clientData/>
  </xdr:twoCellAnchor>
  <xdr:twoCellAnchor editAs="oneCell">
    <xdr:from>
      <xdr:col>12</xdr:col>
      <xdr:colOff>122780</xdr:colOff>
      <xdr:row>15</xdr:row>
      <xdr:rowOff>68281</xdr:rowOff>
    </xdr:from>
    <xdr:to>
      <xdr:col>14</xdr:col>
      <xdr:colOff>525293</xdr:colOff>
      <xdr:row>25</xdr:row>
      <xdr:rowOff>105810</xdr:rowOff>
    </xdr:to>
    <mc:AlternateContent xmlns:mc="http://schemas.openxmlformats.org/markup-compatibility/2006" xmlns:a14="http://schemas.microsoft.com/office/drawing/2010/main">
      <mc:Choice Requires="a14">
        <xdr:graphicFrame macro="">
          <xdr:nvGraphicFramePr>
            <xdr:cNvPr id="7" name="Representative">
              <a:extLst>
                <a:ext uri="{FF2B5EF4-FFF2-40B4-BE49-F238E27FC236}">
                  <a16:creationId xmlns:a16="http://schemas.microsoft.com/office/drawing/2014/main" id="{23ADE602-CB0E-41DF-8B52-434A40F30420}"/>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7814329" y="2885535"/>
              <a:ext cx="1726175" cy="19156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645303</xdr:colOff>
      <xdr:row>2</xdr:row>
      <xdr:rowOff>95250</xdr:rowOff>
    </xdr:from>
    <xdr:to>
      <xdr:col>8</xdr:col>
      <xdr:colOff>12700</xdr:colOff>
      <xdr:row>12</xdr:row>
      <xdr:rowOff>101600</xdr:rowOff>
    </xdr:to>
    <xdr:graphicFrame macro="">
      <xdr:nvGraphicFramePr>
        <xdr:cNvPr id="8" name="Chart 7">
          <a:extLst>
            <a:ext uri="{FF2B5EF4-FFF2-40B4-BE49-F238E27FC236}">
              <a16:creationId xmlns:a16="http://schemas.microsoft.com/office/drawing/2014/main" id="{B9A02BD3-B4CC-4BC2-B26E-0B048AFD3C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73480</xdr:colOff>
      <xdr:row>2</xdr:row>
      <xdr:rowOff>90197</xdr:rowOff>
    </xdr:from>
    <xdr:to>
      <xdr:col>13</xdr:col>
      <xdr:colOff>114158</xdr:colOff>
      <xdr:row>13</xdr:row>
      <xdr:rowOff>121292</xdr:rowOff>
    </xdr:to>
    <xdr:graphicFrame macro="">
      <xdr:nvGraphicFramePr>
        <xdr:cNvPr id="9" name="Chart 8">
          <a:extLst>
            <a:ext uri="{FF2B5EF4-FFF2-40B4-BE49-F238E27FC236}">
              <a16:creationId xmlns:a16="http://schemas.microsoft.com/office/drawing/2014/main" id="{A5C04C0B-8B93-4C37-BE95-0859B3EBD0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1</xdr:colOff>
      <xdr:row>15</xdr:row>
      <xdr:rowOff>0</xdr:rowOff>
    </xdr:from>
    <xdr:to>
      <xdr:col>7</xdr:col>
      <xdr:colOff>170598</xdr:colOff>
      <xdr:row>30</xdr:row>
      <xdr:rowOff>18955</xdr:rowOff>
    </xdr:to>
    <xdr:graphicFrame macro="">
      <xdr:nvGraphicFramePr>
        <xdr:cNvPr id="10" name="Chart 9">
          <a:extLst>
            <a:ext uri="{FF2B5EF4-FFF2-40B4-BE49-F238E27FC236}">
              <a16:creationId xmlns:a16="http://schemas.microsoft.com/office/drawing/2014/main" id="{E7FAD1D6-A570-4B60-B80A-A320B0C082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199032</xdr:colOff>
      <xdr:row>15</xdr:row>
      <xdr:rowOff>9478</xdr:rowOff>
    </xdr:from>
    <xdr:to>
      <xdr:col>12</xdr:col>
      <xdr:colOff>9479</xdr:colOff>
      <xdr:row>29</xdr:row>
      <xdr:rowOff>180074</xdr:rowOff>
    </xdr:to>
    <xdr:graphicFrame macro="">
      <xdr:nvGraphicFramePr>
        <xdr:cNvPr id="11" name="Chart 10">
          <a:extLst>
            <a:ext uri="{FF2B5EF4-FFF2-40B4-BE49-F238E27FC236}">
              <a16:creationId xmlns:a16="http://schemas.microsoft.com/office/drawing/2014/main" id="{B499FA87-D572-4D66-9855-0700B7EA6E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303284</xdr:colOff>
      <xdr:row>2</xdr:row>
      <xdr:rowOff>85300</xdr:rowOff>
    </xdr:from>
    <xdr:to>
      <xdr:col>17</xdr:col>
      <xdr:colOff>94776</xdr:colOff>
      <xdr:row>14</xdr:row>
      <xdr:rowOff>56865</xdr:rowOff>
    </xdr:to>
    <xdr:graphicFrame macro="">
      <xdr:nvGraphicFramePr>
        <xdr:cNvPr id="12" name="Chart 11">
          <a:extLst>
            <a:ext uri="{FF2B5EF4-FFF2-40B4-BE49-F238E27FC236}">
              <a16:creationId xmlns:a16="http://schemas.microsoft.com/office/drawing/2014/main" id="{351364D1-414E-4E67-95A3-D4CF16D09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189551</xdr:colOff>
      <xdr:row>1</xdr:row>
      <xdr:rowOff>104253</xdr:rowOff>
    </xdr:from>
    <xdr:to>
      <xdr:col>20</xdr:col>
      <xdr:colOff>435970</xdr:colOff>
      <xdr:row>14</xdr:row>
      <xdr:rowOff>52192</xdr:rowOff>
    </xdr:to>
    <xdr:graphicFrame macro="">
      <xdr:nvGraphicFramePr>
        <xdr:cNvPr id="13" name="Chart 12">
          <a:extLst>
            <a:ext uri="{FF2B5EF4-FFF2-40B4-BE49-F238E27FC236}">
              <a16:creationId xmlns:a16="http://schemas.microsoft.com/office/drawing/2014/main" id="{6A6DEDF1-23DF-4145-90D8-90C4582C1E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0</xdr:colOff>
      <xdr:row>0</xdr:row>
      <xdr:rowOff>18955</xdr:rowOff>
    </xdr:from>
    <xdr:to>
      <xdr:col>22</xdr:col>
      <xdr:colOff>199029</xdr:colOff>
      <xdr:row>2</xdr:row>
      <xdr:rowOff>56866</xdr:rowOff>
    </xdr:to>
    <xdr:sp macro="" textlink="">
      <xdr:nvSpPr>
        <xdr:cNvPr id="14" name="TextBox 13">
          <a:extLst>
            <a:ext uri="{FF2B5EF4-FFF2-40B4-BE49-F238E27FC236}">
              <a16:creationId xmlns:a16="http://schemas.microsoft.com/office/drawing/2014/main" id="{D1B95C3A-6E0E-523A-2198-EBED846FF102}"/>
            </a:ext>
          </a:extLst>
        </xdr:cNvPr>
        <xdr:cNvSpPr txBox="1"/>
      </xdr:nvSpPr>
      <xdr:spPr>
        <a:xfrm>
          <a:off x="0" y="18955"/>
          <a:ext cx="14538656" cy="39806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bg1">
                  <a:lumMod val="50000"/>
                </a:schemeClr>
              </a:solidFill>
            </a:rPr>
            <a:t>CALL REPORT</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s" refreshedDate="46081.565639930559" backgroundQuery="1" createdVersion="8" refreshedVersion="8" minRefreshableVersion="3" recordCount="0" supportSubquery="1" supportAdvancedDrill="1" xr:uid="{F176C8D7-A523-4B0D-B1BC-63C3382A520A}">
  <cacheSource type="external" connectionId="1"/>
  <cacheFields count="5">
    <cacheField name="[Measures].[count of calls]" caption="count of calls"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ust]" caption="5* cust" numFmtId="0" hierarchy="21"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s]" caption="count of calls"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ust]" caption="5* cust"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s" refreshedDate="46081.717957291665" backgroundQuery="1" createdVersion="8" refreshedVersion="8" minRefreshableVersion="3" recordCount="0" supportSubquery="1" supportAdvancedDrill="1" xr:uid="{1B8D0760-311E-4E2A-A0DA-5549D3511CBF}">
  <cacheSource type="external" connectionId="1"/>
  <cacheFields count="3">
    <cacheField name="[calls].[Representative].[Representative]" caption="Representative" numFmtId="0" hierarchy="3" level="1">
      <sharedItems count="5">
        <s v="R01"/>
        <s v="R02"/>
        <s v="R03"/>
        <s v="R04"/>
        <s v="R05"/>
      </sharedItems>
    </cacheField>
    <cacheField name="[Measures].[count of calls]" caption="count of calls" numFmtId="0" hierarchy="17" level="32767"/>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s]" caption="count of calls"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ust]" caption="5* cust"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s" refreshedDate="46083.549547106479" backgroundQuery="1" createdVersion="8" refreshedVersion="8" minRefreshableVersion="3" recordCount="0" supportSubquery="1" supportAdvancedDrill="1" xr:uid="{B7887491-DBB6-43C1-B769-3AB1FDF67996}">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ount of calls]" caption="count of calls"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s]" caption="count of calls"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ust]" caption="5* cust"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s" refreshedDate="46084.369724652781" backgroundQuery="1" createdVersion="8" refreshedVersion="8" minRefreshableVersion="3" recordCount="0" supportSubquery="1" supportAdvancedDrill="1" xr:uid="{5F3FD7F3-28A2-4E85-A17D-1E9AE571AD2C}">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2"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s]" caption="count of calls"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ust]" caption="5* cust"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s" refreshedDate="46092.543841087965" backgroundQuery="1" createdVersion="8" refreshedVersion="8" minRefreshableVersion="3" recordCount="0" supportSubquery="1" supportAdvancedDrill="1" xr:uid="{B6DB2ED8-6F2C-43EC-8290-03845F255455}">
  <cacheSource type="external" connectionId="1"/>
  <cacheFields count="6">
    <cacheField name="[Measures].[count of calls]" caption="count of calls"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ust]" caption="5* cust" numFmtId="0" hierarchy="21"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s]" caption="count of calls"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ust]" caption="5* cust"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s" refreshedDate="46092.543842592589" backgroundQuery="1" createdVersion="8" refreshedVersion="8" minRefreshableVersion="3" recordCount="0" supportSubquery="1" supportAdvancedDrill="1" xr:uid="{55734188-4299-4195-84C1-477D7542110A}">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ount of calls]" caption="count of calls" numFmtId="0" hierarchy="17" level="32767"/>
    <cacheField name="Unsupported0" numFmtId="0" hierarchy="25" level="32767">
      <extLst>
        <ext xmlns:x14="http://schemas.microsoft.com/office/spreadsheetml/2009/9/main" uri="{63CAB8AC-B538-458d-9737-405883B0398D}">
          <x14:cacheField ignore="1"/>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s]" caption="count of calls"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ust]" caption="5* cust"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s" refreshedDate="46092.543843402775" backgroundQuery="1" createdVersion="8" refreshedVersion="8" minRefreshableVersion="3" recordCount="0" supportSubquery="1" supportAdvancedDrill="1" xr:uid="{624AEE18-3701-4459-BC21-302645348C51}">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ount of calls]" caption="count of calls"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s]" caption="count of calls"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ust]" caption="5* cust"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s" refreshedDate="46092.543844097221" backgroundQuery="1" createdVersion="8" refreshedVersion="8" minRefreshableVersion="3" recordCount="0" supportSubquery="1" supportAdvancedDrill="1" xr:uid="{23F80157-53FA-4359-BCAA-51D7CBF9D450}">
  <cacheSource type="external" connectionId="1"/>
  <cacheFields count="1">
    <cacheField name="[calls].[Representative].[Representative]" caption="Representative" numFmtId="0" hierarchy="3" level="1">
      <sharedItems count="1">
        <s v="R03"/>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s]" caption="count of calls"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ust]" caption="5* cust"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s" refreshedDate="46092.543844791668" backgroundQuery="1" createdVersion="8" refreshedVersion="8" minRefreshableVersion="3" recordCount="0" supportSubquery="1" supportAdvancedDrill="1" xr:uid="{DAA5F867-EA4C-4C3D-87DB-B9D98C4CAD7E}">
  <cacheSource type="external" connectionId="1"/>
  <cacheFields count="3">
    <cacheField name="[Measures].[count of calls]" caption="count of calls" numFmtId="0" hierarchy="17"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s]" caption="count of calls"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ust]" caption="5* cust"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s" refreshedDate="46081.565635648149" backgroundQuery="1" createdVersion="3" refreshedVersion="8" minRefreshableVersion="3" recordCount="0" supportSubquery="1" supportAdvancedDrill="1" xr:uid="{F94AB47B-CFC1-44C3-991B-BFE5DD80022E}">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s]" caption="count of calls"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ust]" caption="5* cust"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49461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9F471F-13A7-4D94-8B43-F62D7B4423E1}" name="rep pivort"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E9"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911C7E-1E99-4ABF-8303-BD46463F2C1A}" name="PivotTable1"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17:C30"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ount of calls2" fld="4" subtotal="count" baseField="0" baseItem="0">
      <extLst>
        <ext xmlns:x14="http://schemas.microsoft.com/office/spreadsheetml/2009/9/main" uri="{E15A36E0-9728-4e99-A89B-3F7291B0FE68}">
          <x14:dataField sourceField="3" uniqueName="[__Xl2].[Measures].[count of calls]"/>
        </ext>
      </extLst>
    </dataField>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8D043F-7EC1-4ED4-B2FA-25357127C75B}" name="PivotTable2"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G17:H25"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1"/>
        <item x="5"/>
        <item x="6"/>
        <item x="4"/>
        <item x="0"/>
        <item x="2"/>
        <item x="3"/>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3">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5EBDF0-3315-4120-8E7A-A221A0679129}" name="rep satisfaction"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58:B65"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3F1823-AC1A-4672-A049-7EE2AA8B4537}" name="PivotTable3"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50:D55"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7">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3" format="6">
      <pivotArea type="data" outline="0" fieldPosition="0">
        <references count="3">
          <reference field="4294967294" count="1" selected="0">
            <x v="0"/>
          </reference>
          <reference field="0" count="1" selected="0">
            <x v="0"/>
          </reference>
          <reference field="1" count="1" selected="0">
            <x v="0"/>
          </reference>
        </references>
      </pivotArea>
    </chartFormat>
    <chartFormat chart="3" format="7">
      <pivotArea type="data" outline="0" fieldPosition="0">
        <references count="3">
          <reference field="4294967294" count="1" selected="0">
            <x v="0"/>
          </reference>
          <reference field="0" count="1" selected="0">
            <x v="1"/>
          </reference>
          <reference field="1" count="1" selected="0">
            <x v="0"/>
          </reference>
        </references>
      </pivotArea>
    </chartFormat>
    <chartFormat chart="3" format="8">
      <pivotArea type="data" outline="0" fieldPosition="0">
        <references count="3">
          <reference field="4294967294" count="1" selected="0">
            <x v="0"/>
          </reference>
          <reference field="0" count="1" selected="0">
            <x v="2"/>
          </reference>
          <reference field="1"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4A5C99-4A8C-497F-9B4F-EAE207ABDE63}" name="selected rep"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5:A47"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2">
    <i>
      <x/>
    </i>
    <i t="grand">
      <x/>
    </i>
  </rowItems>
  <formats count="1">
    <format dxfId="14">
      <pivotArea dataOnly="0" labelOnly="1" fieldPosition="0">
        <references count="1">
          <reference field="0" count="0"/>
        </references>
      </pivotArea>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F458EA-00F9-4EBD-BF3B-46D0C8483589}" name="reps pivort"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5:C41"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318B98-1827-4E26-BA0E-401633B3B681}" name="summery pivort"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ACBB45-262D-4B41-A448-32709D8CC47D}" name="PivotTable4"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9">
  <location ref="D58:J77"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6808C83A-872B-4ECC-9ADA-D0C0A5922A00}" sourceName="[calls].[Representative]">
  <pivotTables>
    <pivotTable tabId="6" name="rep pivort"/>
    <pivotTable tabId="6" name="PivotTable1"/>
    <pivotTable tabId="6" name="PivotTable2"/>
    <pivotTable tabId="6" name="selected rep"/>
    <pivotTable tabId="6" name="rep satisfaction"/>
  </pivotTables>
  <data>
    <olap pivotCacheId="2494614">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D8021A49-5124-4167-8687-BA3B3ECF80CC}" cache="Slicer_Representative" caption="Representative" level="1" style="SlicerStyleLight4"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3"/>
    <tableColumn id="5" xr3:uid="{5A35565E-8707-4DED-AD15-A0669D67B382}" name="Date of Call" dataDxfId="12"/>
    <tableColumn id="6" xr3:uid="{F2E4F158-B41F-47BC-8DF8-DFCADFEE4E40}" name="Purchase Amount"/>
    <tableColumn id="7" xr3:uid="{04B291B5-47BD-4F78-8FD8-D1551CCA6BD9}" name="Satisfaction Rating"/>
    <tableColumn id="8" xr3:uid="{6E4123C0-0B17-43B8-A142-A1E540CE974C}" name="FY" dataDxfId="11">
      <calculatedColumnFormula>IF(MONTH(calls[[#This Row],[Date of Call]])&lt;=6, YEAR(calls[[#This Row],[Date of Call]]), YEAR(calls[[#This Row],[Date of Call]])+1)</calculatedColumnFormula>
    </tableColumn>
    <tableColumn id="9" xr3:uid="{199FA271-5E9B-46CE-9BC6-2801F92CD17E}" name="Day of week" dataDxfId="10">
      <calculatedColumnFormula>TEXT(calls[[#This Row],[Date of Call]],"DDDD")</calculatedColumnFormula>
    </tableColumn>
    <tableColumn id="10" xr3:uid="{328CDB09-95B8-4D5E-9ED9-EF0D363735A1}" name="Duration Bucket" dataDxfId="9">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8">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7" headerRowBorderDxfId="6" tableBorderDxfId="5" totalsRowBorderDxfId="4">
  <autoFilter ref="Q3:T18" xr:uid="{27158F51-A707-4171-8A04-81FB0AABCBA5}"/>
  <tableColumns count="4">
    <tableColumn id="1" xr3:uid="{02688061-6A8C-4E23-B7FF-D00CD8B58CAC}" name="Customer ID" dataDxfId="3"/>
    <tableColumn id="2" xr3:uid="{771678B6-DB44-426B-9874-B4E421A440D5}" name="Gedner" dataDxfId="2"/>
    <tableColumn id="3" xr3:uid="{B0D41C62-587E-494D-B49A-603F2C05F8D3}" name="Age" dataDxfId="1"/>
    <tableColumn id="4" xr3:uid="{663F92D6-FE31-4D81-9E01-8D066DDC8A88}" name="City"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D64DE-01E2-4934-8E42-9846FB5D7EC9}">
  <dimension ref="A3:J77"/>
  <sheetViews>
    <sheetView topLeftCell="A56" zoomScale="89" workbookViewId="0">
      <selection activeCell="E59" sqref="E59:I59"/>
    </sheetView>
  </sheetViews>
  <sheetFormatPr defaultRowHeight="14.5" x14ac:dyDescent="0.35"/>
  <cols>
    <col min="1" max="1" width="12.83203125" bestFit="1" customWidth="1"/>
    <col min="2" max="2" width="12.33203125" bestFit="1" customWidth="1"/>
    <col min="3" max="3" width="13.5" bestFit="1" customWidth="1"/>
    <col min="4" max="4" width="9.08203125" bestFit="1" customWidth="1"/>
    <col min="5" max="5" width="6.83203125" bestFit="1" customWidth="1"/>
    <col min="6" max="6" width="6.58203125" bestFit="1" customWidth="1"/>
    <col min="7" max="7" width="12.83203125" bestFit="1" customWidth="1"/>
    <col min="8" max="8" width="12.33203125" bestFit="1" customWidth="1"/>
    <col min="9" max="9" width="6.58203125" bestFit="1" customWidth="1"/>
    <col min="10" max="10" width="10.6640625" bestFit="1" customWidth="1"/>
  </cols>
  <sheetData>
    <row r="3" spans="1:5" x14ac:dyDescent="0.35">
      <c r="A3" t="s">
        <v>1042</v>
      </c>
      <c r="B3" t="s">
        <v>1043</v>
      </c>
      <c r="C3" t="s">
        <v>1044</v>
      </c>
      <c r="D3" t="s">
        <v>1045</v>
      </c>
      <c r="E3" t="s">
        <v>1046</v>
      </c>
    </row>
    <row r="4" spans="1:5" x14ac:dyDescent="0.35">
      <c r="A4" s="20">
        <v>1000</v>
      </c>
      <c r="B4" s="22">
        <v>96623</v>
      </c>
      <c r="C4" s="20">
        <v>89850</v>
      </c>
      <c r="D4" s="21">
        <v>3.8854000000000033</v>
      </c>
      <c r="E4">
        <v>307</v>
      </c>
    </row>
    <row r="8" spans="1:5" x14ac:dyDescent="0.35">
      <c r="A8" t="s">
        <v>1042</v>
      </c>
      <c r="B8" t="s">
        <v>1043</v>
      </c>
      <c r="C8" t="s">
        <v>1044</v>
      </c>
      <c r="D8" t="s">
        <v>1045</v>
      </c>
      <c r="E8" t="s">
        <v>1046</v>
      </c>
    </row>
    <row r="9" spans="1:5" x14ac:dyDescent="0.35">
      <c r="A9" s="20">
        <v>207</v>
      </c>
      <c r="B9" s="22">
        <v>20872</v>
      </c>
      <c r="C9" s="20">
        <v>17700</v>
      </c>
      <c r="D9" s="21">
        <v>3.8589371980676304</v>
      </c>
      <c r="E9">
        <v>60</v>
      </c>
    </row>
    <row r="17" spans="1:10" x14ac:dyDescent="0.35">
      <c r="A17" s="23" t="s">
        <v>1047</v>
      </c>
      <c r="B17" t="s">
        <v>1042</v>
      </c>
      <c r="C17" t="s">
        <v>1061</v>
      </c>
      <c r="G17" s="23" t="s">
        <v>1047</v>
      </c>
      <c r="H17" t="s">
        <v>1042</v>
      </c>
    </row>
    <row r="18" spans="1:10" x14ac:dyDescent="0.35">
      <c r="A18" s="24" t="s">
        <v>1049</v>
      </c>
      <c r="B18" s="20">
        <v>13</v>
      </c>
      <c r="C18" s="20">
        <v>13</v>
      </c>
      <c r="G18" s="24" t="s">
        <v>1063</v>
      </c>
      <c r="H18" s="20">
        <v>34</v>
      </c>
    </row>
    <row r="19" spans="1:10" x14ac:dyDescent="0.35">
      <c r="A19" s="24" t="s">
        <v>1050</v>
      </c>
      <c r="B19" s="20">
        <v>13</v>
      </c>
      <c r="C19" s="20">
        <v>13</v>
      </c>
      <c r="G19" s="24" t="s">
        <v>1067</v>
      </c>
      <c r="H19" s="20">
        <v>26</v>
      </c>
    </row>
    <row r="20" spans="1:10" x14ac:dyDescent="0.35">
      <c r="A20" s="24" t="s">
        <v>1051</v>
      </c>
      <c r="B20" s="20">
        <v>28</v>
      </c>
      <c r="C20" s="20">
        <v>28</v>
      </c>
      <c r="G20" s="24" t="s">
        <v>1068</v>
      </c>
      <c r="H20" s="20">
        <v>38</v>
      </c>
    </row>
    <row r="21" spans="1:10" x14ac:dyDescent="0.35">
      <c r="A21" s="24" t="s">
        <v>1052</v>
      </c>
      <c r="B21" s="20">
        <v>24</v>
      </c>
      <c r="C21" s="20">
        <v>24</v>
      </c>
      <c r="G21" s="24" t="s">
        <v>1066</v>
      </c>
      <c r="H21" s="20">
        <v>27</v>
      </c>
    </row>
    <row r="22" spans="1:10" x14ac:dyDescent="0.35">
      <c r="A22" s="24" t="s">
        <v>1053</v>
      </c>
      <c r="B22" s="20">
        <v>23</v>
      </c>
      <c r="C22" s="20">
        <v>23</v>
      </c>
      <c r="G22" s="24" t="s">
        <v>1062</v>
      </c>
      <c r="H22" s="20">
        <v>27</v>
      </c>
    </row>
    <row r="23" spans="1:10" x14ac:dyDescent="0.35">
      <c r="A23" s="24" t="s">
        <v>1054</v>
      </c>
      <c r="B23" s="20">
        <v>17</v>
      </c>
      <c r="C23" s="20">
        <v>17</v>
      </c>
      <c r="G23" s="24" t="s">
        <v>1064</v>
      </c>
      <c r="H23" s="20">
        <v>25</v>
      </c>
    </row>
    <row r="24" spans="1:10" x14ac:dyDescent="0.35">
      <c r="A24" s="24" t="s">
        <v>1055</v>
      </c>
      <c r="B24" s="20">
        <v>11</v>
      </c>
      <c r="C24" s="20">
        <v>11</v>
      </c>
      <c r="G24" s="24" t="s">
        <v>1065</v>
      </c>
      <c r="H24" s="20">
        <v>30</v>
      </c>
    </row>
    <row r="25" spans="1:10" x14ac:dyDescent="0.35">
      <c r="A25" s="24" t="s">
        <v>1056</v>
      </c>
      <c r="B25" s="20">
        <v>11</v>
      </c>
      <c r="C25" s="20">
        <v>11</v>
      </c>
      <c r="G25" s="24" t="s">
        <v>1048</v>
      </c>
      <c r="H25" s="20">
        <v>207</v>
      </c>
    </row>
    <row r="26" spans="1:10" x14ac:dyDescent="0.35">
      <c r="A26" s="24" t="s">
        <v>1057</v>
      </c>
      <c r="B26" s="20">
        <v>14</v>
      </c>
      <c r="C26" s="20">
        <v>14</v>
      </c>
    </row>
    <row r="27" spans="1:10" x14ac:dyDescent="0.35">
      <c r="A27" s="24" t="s">
        <v>1058</v>
      </c>
      <c r="B27" s="20">
        <v>30</v>
      </c>
      <c r="C27" s="20">
        <v>30</v>
      </c>
    </row>
    <row r="28" spans="1:10" x14ac:dyDescent="0.35">
      <c r="A28" s="24" t="s">
        <v>1059</v>
      </c>
      <c r="B28" s="20">
        <v>14</v>
      </c>
      <c r="C28" s="20">
        <v>14</v>
      </c>
    </row>
    <row r="29" spans="1:10" x14ac:dyDescent="0.35">
      <c r="A29" s="24" t="s">
        <v>1060</v>
      </c>
      <c r="B29" s="20">
        <v>9</v>
      </c>
      <c r="C29" s="20">
        <v>9</v>
      </c>
    </row>
    <row r="30" spans="1:10" x14ac:dyDescent="0.35">
      <c r="A30" s="24" t="s">
        <v>1048</v>
      </c>
      <c r="B30" s="20">
        <v>207</v>
      </c>
      <c r="C30" s="20">
        <v>207</v>
      </c>
    </row>
    <row r="32" spans="1:10" x14ac:dyDescent="0.35">
      <c r="I32" t="s">
        <v>1074</v>
      </c>
      <c r="J32" t="str">
        <f>A46</f>
        <v>R03</v>
      </c>
    </row>
    <row r="34" spans="1:10" x14ac:dyDescent="0.35">
      <c r="F34" t="s">
        <v>1069</v>
      </c>
      <c r="G34" t="s">
        <v>1070</v>
      </c>
      <c r="H34" t="s">
        <v>1071</v>
      </c>
      <c r="I34" t="s">
        <v>1072</v>
      </c>
      <c r="J34" t="s">
        <v>1073</v>
      </c>
    </row>
    <row r="35" spans="1:10" x14ac:dyDescent="0.35">
      <c r="A35" s="23" t="s">
        <v>1047</v>
      </c>
      <c r="B35" t="s">
        <v>1042</v>
      </c>
      <c r="C35" t="s">
        <v>1043</v>
      </c>
      <c r="F35" s="24" t="s">
        <v>11</v>
      </c>
      <c r="G35" s="20">
        <v>189</v>
      </c>
      <c r="H35" s="25">
        <v>18415</v>
      </c>
      <c r="I35" t="e">
        <f>IF(F35=J32,G35,NA())</f>
        <v>#N/A</v>
      </c>
      <c r="J35" t="e">
        <f>IF(F35=J32,H35,NA())</f>
        <v>#N/A</v>
      </c>
    </row>
    <row r="36" spans="1:10" x14ac:dyDescent="0.35">
      <c r="A36" s="24" t="s">
        <v>11</v>
      </c>
      <c r="B36" s="20">
        <v>189</v>
      </c>
      <c r="C36" s="22">
        <v>18415</v>
      </c>
      <c r="F36" s="24" t="s">
        <v>9</v>
      </c>
      <c r="G36" s="20">
        <v>218</v>
      </c>
      <c r="H36" s="25">
        <v>20581</v>
      </c>
      <c r="I36" t="e">
        <f>IF(F36=J32,G36,NA())</f>
        <v>#N/A</v>
      </c>
      <c r="J36" t="e">
        <f>IF(F36=J32,H36,NA())</f>
        <v>#N/A</v>
      </c>
    </row>
    <row r="37" spans="1:10" x14ac:dyDescent="0.35">
      <c r="A37" s="24" t="s">
        <v>9</v>
      </c>
      <c r="B37" s="20">
        <v>218</v>
      </c>
      <c r="C37" s="22">
        <v>20581</v>
      </c>
      <c r="F37" s="24" t="s">
        <v>6</v>
      </c>
      <c r="G37" s="20">
        <v>207</v>
      </c>
      <c r="H37" s="25">
        <v>20872</v>
      </c>
      <c r="I37">
        <f>IF(F37=J32,G37,NA())</f>
        <v>207</v>
      </c>
      <c r="J37">
        <f>IF(F37=J32,H37,NA())</f>
        <v>20872</v>
      </c>
    </row>
    <row r="38" spans="1:10" x14ac:dyDescent="0.35">
      <c r="A38" s="24" t="s">
        <v>6</v>
      </c>
      <c r="B38" s="20">
        <v>207</v>
      </c>
      <c r="C38" s="22">
        <v>20872</v>
      </c>
      <c r="F38" s="24" t="s">
        <v>13</v>
      </c>
      <c r="G38" s="20">
        <v>186</v>
      </c>
      <c r="H38" s="25">
        <v>16651</v>
      </c>
      <c r="I38" t="e">
        <f>IF(F38=J32,G38,NA())</f>
        <v>#N/A</v>
      </c>
      <c r="J38" t="e">
        <f>IF(F38=J32,H38,NA())</f>
        <v>#N/A</v>
      </c>
    </row>
    <row r="39" spans="1:10" x14ac:dyDescent="0.35">
      <c r="A39" s="24" t="s">
        <v>13</v>
      </c>
      <c r="B39" s="20">
        <v>186</v>
      </c>
      <c r="C39" s="22">
        <v>16651</v>
      </c>
      <c r="F39" s="24" t="s">
        <v>10</v>
      </c>
      <c r="G39" s="20">
        <v>200</v>
      </c>
      <c r="H39" s="25">
        <v>20104</v>
      </c>
      <c r="I39" t="e">
        <f>IF(F39=J32,G39,NA())</f>
        <v>#N/A</v>
      </c>
      <c r="J39" t="e">
        <f>IF(F39=J32,H39,NA())</f>
        <v>#N/A</v>
      </c>
    </row>
    <row r="40" spans="1:10" x14ac:dyDescent="0.35">
      <c r="A40" s="24" t="s">
        <v>10</v>
      </c>
      <c r="B40" s="20">
        <v>200</v>
      </c>
      <c r="C40" s="22">
        <v>20104</v>
      </c>
    </row>
    <row r="41" spans="1:10" x14ac:dyDescent="0.35">
      <c r="A41" s="24" t="s">
        <v>1048</v>
      </c>
      <c r="B41" s="20">
        <v>1000</v>
      </c>
      <c r="C41" s="22">
        <v>96623</v>
      </c>
    </row>
    <row r="45" spans="1:10" x14ac:dyDescent="0.35">
      <c r="A45" s="23" t="s">
        <v>1047</v>
      </c>
    </row>
    <row r="46" spans="1:10" x14ac:dyDescent="0.35">
      <c r="A46" s="26" t="s">
        <v>6</v>
      </c>
    </row>
    <row r="47" spans="1:10" x14ac:dyDescent="0.35">
      <c r="A47" s="24" t="s">
        <v>1048</v>
      </c>
    </row>
    <row r="50" spans="1:10" x14ac:dyDescent="0.35">
      <c r="A50" s="23" t="s">
        <v>1042</v>
      </c>
      <c r="B50" s="23" t="s">
        <v>1075</v>
      </c>
    </row>
    <row r="51" spans="1:10" x14ac:dyDescent="0.35">
      <c r="A51" s="23" t="s">
        <v>1047</v>
      </c>
      <c r="B51" t="s">
        <v>999</v>
      </c>
      <c r="C51" t="s">
        <v>998</v>
      </c>
      <c r="D51" t="s">
        <v>1048</v>
      </c>
    </row>
    <row r="52" spans="1:10" x14ac:dyDescent="0.35">
      <c r="A52" s="24" t="s">
        <v>1002</v>
      </c>
      <c r="B52" s="20">
        <v>144</v>
      </c>
      <c r="C52" s="20">
        <v>132</v>
      </c>
      <c r="D52" s="20">
        <v>276</v>
      </c>
    </row>
    <row r="53" spans="1:10" x14ac:dyDescent="0.35">
      <c r="A53" s="24" t="s">
        <v>1001</v>
      </c>
      <c r="B53" s="20">
        <v>326</v>
      </c>
      <c r="C53" s="20">
        <v>63</v>
      </c>
      <c r="D53" s="20">
        <v>389</v>
      </c>
    </row>
    <row r="54" spans="1:10" x14ac:dyDescent="0.35">
      <c r="A54" s="24" t="s">
        <v>1000</v>
      </c>
      <c r="B54" s="20">
        <v>129</v>
      </c>
      <c r="C54" s="20">
        <v>206</v>
      </c>
      <c r="D54" s="20">
        <v>335</v>
      </c>
    </row>
    <row r="55" spans="1:10" x14ac:dyDescent="0.35">
      <c r="A55" s="24" t="s">
        <v>1048</v>
      </c>
      <c r="B55" s="20">
        <v>599</v>
      </c>
      <c r="C55" s="20">
        <v>401</v>
      </c>
      <c r="D55" s="20">
        <v>1000</v>
      </c>
    </row>
    <row r="58" spans="1:10" x14ac:dyDescent="0.35">
      <c r="A58" s="23" t="s">
        <v>1047</v>
      </c>
      <c r="B58" t="s">
        <v>1042</v>
      </c>
      <c r="D58" s="23" t="s">
        <v>1043</v>
      </c>
      <c r="E58" s="23" t="s">
        <v>1075</v>
      </c>
    </row>
    <row r="59" spans="1:10" x14ac:dyDescent="0.35">
      <c r="A59" s="24">
        <v>0</v>
      </c>
      <c r="B59" s="20">
        <v>1</v>
      </c>
      <c r="D59" s="23" t="s">
        <v>1047</v>
      </c>
      <c r="E59" t="s">
        <v>11</v>
      </c>
      <c r="F59" t="s">
        <v>9</v>
      </c>
      <c r="G59" t="s">
        <v>6</v>
      </c>
      <c r="H59" t="s">
        <v>13</v>
      </c>
      <c r="I59" t="s">
        <v>10</v>
      </c>
      <c r="J59" t="s">
        <v>1048</v>
      </c>
    </row>
    <row r="60" spans="1:10" x14ac:dyDescent="0.35">
      <c r="A60" s="24">
        <v>1</v>
      </c>
      <c r="B60" s="20">
        <v>1</v>
      </c>
      <c r="D60" s="24" t="s">
        <v>1002</v>
      </c>
    </row>
    <row r="61" spans="1:10" x14ac:dyDescent="0.35">
      <c r="A61" s="24">
        <v>2</v>
      </c>
      <c r="B61" s="20">
        <v>11</v>
      </c>
      <c r="D61" s="27" t="s">
        <v>20</v>
      </c>
      <c r="E61" s="22">
        <v>891</v>
      </c>
      <c r="F61" s="22">
        <v>1332</v>
      </c>
      <c r="G61" s="22">
        <v>1282</v>
      </c>
      <c r="H61" s="22">
        <v>739</v>
      </c>
      <c r="I61" s="22">
        <v>560</v>
      </c>
      <c r="J61" s="22">
        <v>4804</v>
      </c>
    </row>
    <row r="62" spans="1:10" x14ac:dyDescent="0.35">
      <c r="A62" s="24">
        <v>3</v>
      </c>
      <c r="B62" s="20">
        <v>46</v>
      </c>
      <c r="D62" s="27" t="s">
        <v>12</v>
      </c>
      <c r="E62" s="22">
        <v>1991</v>
      </c>
      <c r="F62" s="22">
        <v>1886</v>
      </c>
      <c r="G62" s="22">
        <v>1206</v>
      </c>
      <c r="H62" s="22">
        <v>884</v>
      </c>
      <c r="I62" s="22">
        <v>1722</v>
      </c>
      <c r="J62" s="22">
        <v>7689</v>
      </c>
    </row>
    <row r="63" spans="1:10" x14ac:dyDescent="0.35">
      <c r="A63" s="24">
        <v>4</v>
      </c>
      <c r="B63" s="20">
        <v>88</v>
      </c>
      <c r="D63" s="27" t="s">
        <v>8</v>
      </c>
      <c r="E63" s="22">
        <v>1163</v>
      </c>
      <c r="F63" s="22">
        <v>1180</v>
      </c>
      <c r="G63" s="22">
        <v>1616</v>
      </c>
      <c r="H63" s="22">
        <v>1043</v>
      </c>
      <c r="I63" s="22">
        <v>1747</v>
      </c>
      <c r="J63" s="22">
        <v>6749</v>
      </c>
    </row>
    <row r="64" spans="1:10" x14ac:dyDescent="0.35">
      <c r="A64" s="24">
        <v>5</v>
      </c>
      <c r="B64" s="20">
        <v>60</v>
      </c>
      <c r="D64" s="27" t="s">
        <v>16</v>
      </c>
      <c r="E64" s="22">
        <v>1438</v>
      </c>
      <c r="F64" s="22">
        <v>1616</v>
      </c>
      <c r="G64" s="22">
        <v>866</v>
      </c>
      <c r="H64" s="22">
        <v>829</v>
      </c>
      <c r="I64" s="22">
        <v>2070</v>
      </c>
      <c r="J64" s="22">
        <v>6819</v>
      </c>
    </row>
    <row r="65" spans="1:10" x14ac:dyDescent="0.35">
      <c r="A65" s="24" t="s">
        <v>1048</v>
      </c>
      <c r="B65" s="20">
        <v>207</v>
      </c>
      <c r="D65" s="24" t="s">
        <v>1001</v>
      </c>
    </row>
    <row r="66" spans="1:10" x14ac:dyDescent="0.35">
      <c r="D66" s="27" t="s">
        <v>24</v>
      </c>
      <c r="E66" s="22">
        <v>1233</v>
      </c>
      <c r="F66" s="22">
        <v>223</v>
      </c>
      <c r="G66" s="22">
        <v>1680</v>
      </c>
      <c r="H66" s="22">
        <v>990</v>
      </c>
      <c r="I66" s="22">
        <v>1508</v>
      </c>
      <c r="J66" s="22">
        <v>5634</v>
      </c>
    </row>
    <row r="67" spans="1:10" x14ac:dyDescent="0.35">
      <c r="D67" s="27" t="s">
        <v>15</v>
      </c>
      <c r="E67" s="22">
        <v>1598</v>
      </c>
      <c r="F67" s="22">
        <v>1907</v>
      </c>
      <c r="G67" s="22">
        <v>869</v>
      </c>
      <c r="H67" s="22">
        <v>1426</v>
      </c>
      <c r="I67" s="22">
        <v>1416</v>
      </c>
      <c r="J67" s="22">
        <v>7216</v>
      </c>
    </row>
    <row r="68" spans="1:10" x14ac:dyDescent="0.35">
      <c r="D68" s="27" t="s">
        <v>5</v>
      </c>
      <c r="E68" s="22">
        <v>900</v>
      </c>
      <c r="F68" s="22">
        <v>1016</v>
      </c>
      <c r="G68" s="22">
        <v>960</v>
      </c>
      <c r="H68" s="22">
        <v>940</v>
      </c>
      <c r="I68" s="22">
        <v>1193</v>
      </c>
      <c r="J68" s="22">
        <v>5009</v>
      </c>
    </row>
    <row r="69" spans="1:10" x14ac:dyDescent="0.35">
      <c r="D69" s="27" t="s">
        <v>18</v>
      </c>
      <c r="E69" s="22">
        <v>900</v>
      </c>
      <c r="F69" s="22">
        <v>1470</v>
      </c>
      <c r="G69" s="22">
        <v>1617</v>
      </c>
      <c r="H69" s="22">
        <v>1314</v>
      </c>
      <c r="I69" s="22">
        <v>941</v>
      </c>
      <c r="J69" s="22">
        <v>6242</v>
      </c>
    </row>
    <row r="70" spans="1:10" x14ac:dyDescent="0.35">
      <c r="D70" s="27" t="s">
        <v>14</v>
      </c>
      <c r="E70" s="22">
        <v>1255</v>
      </c>
      <c r="F70" s="22">
        <v>516</v>
      </c>
      <c r="G70" s="22">
        <v>1874</v>
      </c>
      <c r="H70" s="22">
        <v>1863</v>
      </c>
      <c r="I70" s="22">
        <v>1722</v>
      </c>
      <c r="J70" s="22">
        <v>7230</v>
      </c>
    </row>
    <row r="71" spans="1:10" x14ac:dyDescent="0.35">
      <c r="D71" s="27" t="s">
        <v>19</v>
      </c>
      <c r="E71" s="22">
        <v>1138</v>
      </c>
      <c r="F71" s="22">
        <v>1898</v>
      </c>
      <c r="G71" s="22">
        <v>1482</v>
      </c>
      <c r="H71" s="22">
        <v>846</v>
      </c>
      <c r="I71" s="22">
        <v>1154</v>
      </c>
      <c r="J71" s="22">
        <v>6518</v>
      </c>
    </row>
    <row r="72" spans="1:10" x14ac:dyDescent="0.35">
      <c r="D72" s="24" t="s">
        <v>1000</v>
      </c>
    </row>
    <row r="73" spans="1:10" x14ac:dyDescent="0.35">
      <c r="D73" s="27" t="s">
        <v>17</v>
      </c>
      <c r="E73" s="22">
        <v>1655</v>
      </c>
      <c r="F73" s="22">
        <v>805</v>
      </c>
      <c r="G73" s="22">
        <v>2263</v>
      </c>
      <c r="H73" s="22">
        <v>987</v>
      </c>
      <c r="I73" s="22">
        <v>1075</v>
      </c>
      <c r="J73" s="22">
        <v>6785</v>
      </c>
    </row>
    <row r="74" spans="1:10" x14ac:dyDescent="0.35">
      <c r="D74" s="27" t="s">
        <v>23</v>
      </c>
      <c r="E74" s="22">
        <v>1104</v>
      </c>
      <c r="F74" s="22">
        <v>2280</v>
      </c>
      <c r="G74" s="22">
        <v>1445</v>
      </c>
      <c r="H74" s="22">
        <v>1722</v>
      </c>
      <c r="I74" s="22">
        <v>1196</v>
      </c>
      <c r="J74" s="22">
        <v>7747</v>
      </c>
    </row>
    <row r="75" spans="1:10" x14ac:dyDescent="0.35">
      <c r="D75" s="27" t="s">
        <v>7</v>
      </c>
      <c r="E75" s="22">
        <v>372</v>
      </c>
      <c r="F75" s="22">
        <v>1818</v>
      </c>
      <c r="G75" s="22">
        <v>1346</v>
      </c>
      <c r="H75" s="22">
        <v>1156</v>
      </c>
      <c r="I75" s="22">
        <v>1484</v>
      </c>
      <c r="J75" s="22">
        <v>6176</v>
      </c>
    </row>
    <row r="76" spans="1:10" x14ac:dyDescent="0.35">
      <c r="D76" s="27" t="s">
        <v>22</v>
      </c>
      <c r="E76" s="22">
        <v>1415</v>
      </c>
      <c r="F76" s="22">
        <v>1271</v>
      </c>
      <c r="G76" s="22">
        <v>1214</v>
      </c>
      <c r="H76" s="22">
        <v>1135</v>
      </c>
      <c r="I76" s="22">
        <v>1566</v>
      </c>
      <c r="J76" s="22">
        <v>6601</v>
      </c>
    </row>
    <row r="77" spans="1:10" x14ac:dyDescent="0.35">
      <c r="D77" s="27" t="s">
        <v>21</v>
      </c>
      <c r="E77" s="22">
        <v>1362</v>
      </c>
      <c r="F77" s="22">
        <v>1363</v>
      </c>
      <c r="G77" s="22">
        <v>1152</v>
      </c>
      <c r="H77" s="22">
        <v>777</v>
      </c>
      <c r="I77" s="22">
        <v>750</v>
      </c>
      <c r="J77" s="22">
        <v>5404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A4" zoomScale="115" zoomScaleNormal="115" workbookViewId="0">
      <selection activeCell="D6" sqref="D6"/>
    </sheetView>
  </sheetViews>
  <sheetFormatPr defaultRowHeight="14.5" x14ac:dyDescent="0.35"/>
  <cols>
    <col min="1" max="1" width="3.25" customWidth="1"/>
    <col min="2" max="2" width="14.58203125" customWidth="1"/>
    <col min="3" max="3" width="12.83203125" customWidth="1"/>
    <col min="4" max="4" width="16.58203125" customWidth="1"/>
    <col min="5" max="5" width="15" customWidth="1"/>
    <col min="6" max="6" width="16.08203125" customWidth="1"/>
    <col min="7" max="7" width="17.25" customWidth="1"/>
    <col min="8" max="8" width="18.33203125" customWidth="1"/>
    <col min="9" max="9" width="17.25" customWidth="1"/>
    <col min="10" max="12" width="15.5" customWidth="1"/>
    <col min="13" max="16" width="7.5" customWidth="1"/>
    <col min="17" max="17" width="14.58203125" customWidth="1"/>
    <col min="20" max="20" width="10.58203125" customWidth="1"/>
  </cols>
  <sheetData>
    <row r="1" spans="2:20" s="4" customFormat="1" ht="48" customHeight="1" x14ac:dyDescent="0.35">
      <c r="B1" s="5" t="s">
        <v>1003</v>
      </c>
    </row>
    <row r="2" spans="2:20" x14ac:dyDescent="0.35">
      <c r="R2" s="1"/>
    </row>
    <row r="3" spans="2:20" x14ac:dyDescent="0.3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B4994-E788-48B7-AAB5-A5BA0E995D91}">
  <dimension ref="P16:V34"/>
  <sheetViews>
    <sheetView showGridLines="0" tabSelected="1" topLeftCell="A2" zoomScale="61" zoomScaleNormal="67" workbookViewId="0">
      <selection activeCell="Z5" sqref="Z5"/>
    </sheetView>
  </sheetViews>
  <sheetFormatPr defaultRowHeight="14.5" x14ac:dyDescent="0.35"/>
  <cols>
    <col min="1" max="1" width="7.33203125" customWidth="1"/>
    <col min="2" max="2" width="6.75" customWidth="1"/>
  </cols>
  <sheetData>
    <row r="16" spans="17:22" x14ac:dyDescent="0.35">
      <c r="Q16" s="30" t="s">
        <v>11</v>
      </c>
      <c r="R16" s="30" t="s">
        <v>9</v>
      </c>
      <c r="S16" s="30" t="s">
        <v>6</v>
      </c>
      <c r="T16" s="30" t="s">
        <v>13</v>
      </c>
      <c r="U16" s="30" t="s">
        <v>10</v>
      </c>
      <c r="V16" s="30" t="s">
        <v>1076</v>
      </c>
    </row>
    <row r="17" spans="16:22" x14ac:dyDescent="0.35">
      <c r="P17" s="28" t="s">
        <v>1002</v>
      </c>
      <c r="Q17" s="29"/>
      <c r="R17" s="29"/>
      <c r="S17" s="29"/>
      <c r="T17" s="29"/>
      <c r="U17" s="29"/>
      <c r="V17" s="29"/>
    </row>
    <row r="18" spans="16:22" x14ac:dyDescent="0.35">
      <c r="P18" s="27" t="s">
        <v>20</v>
      </c>
      <c r="Q18" s="22">
        <v>891</v>
      </c>
      <c r="R18" s="22">
        <v>1332</v>
      </c>
      <c r="S18" s="22">
        <v>1282</v>
      </c>
      <c r="T18" s="22">
        <v>739</v>
      </c>
      <c r="U18" s="22">
        <v>560</v>
      </c>
      <c r="V18" s="22">
        <v>4804</v>
      </c>
    </row>
    <row r="19" spans="16:22" x14ac:dyDescent="0.35">
      <c r="P19" s="27" t="s">
        <v>12</v>
      </c>
      <c r="Q19" s="22">
        <v>1991</v>
      </c>
      <c r="R19" s="22">
        <v>1886</v>
      </c>
      <c r="S19" s="22">
        <v>1206</v>
      </c>
      <c r="T19" s="22">
        <v>884</v>
      </c>
      <c r="U19" s="22">
        <v>1722</v>
      </c>
      <c r="V19" s="22">
        <v>7689</v>
      </c>
    </row>
    <row r="20" spans="16:22" x14ac:dyDescent="0.35">
      <c r="P20" s="27" t="s">
        <v>8</v>
      </c>
      <c r="Q20" s="22">
        <v>1163</v>
      </c>
      <c r="R20" s="22">
        <v>1180</v>
      </c>
      <c r="S20" s="22">
        <v>1616</v>
      </c>
      <c r="T20" s="22">
        <v>1043</v>
      </c>
      <c r="U20" s="22">
        <v>1747</v>
      </c>
      <c r="V20" s="22">
        <v>6749</v>
      </c>
    </row>
    <row r="21" spans="16:22" x14ac:dyDescent="0.35">
      <c r="P21" s="27" t="s">
        <v>16</v>
      </c>
      <c r="Q21" s="22">
        <v>1438</v>
      </c>
      <c r="R21" s="22">
        <v>1616</v>
      </c>
      <c r="S21" s="22">
        <v>866</v>
      </c>
      <c r="T21" s="22">
        <v>829</v>
      </c>
      <c r="U21" s="22">
        <v>2070</v>
      </c>
      <c r="V21" s="22">
        <v>6819</v>
      </c>
    </row>
    <row r="22" spans="16:22" x14ac:dyDescent="0.35">
      <c r="P22" s="28" t="s">
        <v>1001</v>
      </c>
      <c r="Q22" s="29"/>
      <c r="R22" s="29"/>
      <c r="S22" s="29"/>
      <c r="T22" s="29"/>
      <c r="U22" s="29"/>
      <c r="V22" s="29"/>
    </row>
    <row r="23" spans="16:22" x14ac:dyDescent="0.35">
      <c r="P23" s="27" t="s">
        <v>24</v>
      </c>
      <c r="Q23" s="22">
        <v>1233</v>
      </c>
      <c r="R23" s="22">
        <v>223</v>
      </c>
      <c r="S23" s="22">
        <v>1680</v>
      </c>
      <c r="T23" s="22">
        <v>990</v>
      </c>
      <c r="U23" s="22">
        <v>1508</v>
      </c>
      <c r="V23" s="22">
        <v>5634</v>
      </c>
    </row>
    <row r="24" spans="16:22" x14ac:dyDescent="0.35">
      <c r="P24" s="27" t="s">
        <v>15</v>
      </c>
      <c r="Q24" s="22">
        <v>1598</v>
      </c>
      <c r="R24" s="22">
        <v>1907</v>
      </c>
      <c r="S24" s="22">
        <v>869</v>
      </c>
      <c r="T24" s="22">
        <v>1426</v>
      </c>
      <c r="U24" s="22">
        <v>1416</v>
      </c>
      <c r="V24" s="22">
        <v>7216</v>
      </c>
    </row>
    <row r="25" spans="16:22" x14ac:dyDescent="0.35">
      <c r="P25" s="27" t="s">
        <v>5</v>
      </c>
      <c r="Q25" s="22">
        <v>900</v>
      </c>
      <c r="R25" s="22">
        <v>1016</v>
      </c>
      <c r="S25" s="22">
        <v>960</v>
      </c>
      <c r="T25" s="22">
        <v>940</v>
      </c>
      <c r="U25" s="22">
        <v>1193</v>
      </c>
      <c r="V25" s="22">
        <v>5009</v>
      </c>
    </row>
    <row r="26" spans="16:22" x14ac:dyDescent="0.35">
      <c r="P26" s="27" t="s">
        <v>18</v>
      </c>
      <c r="Q26" s="22">
        <v>900</v>
      </c>
      <c r="R26" s="22">
        <v>1470</v>
      </c>
      <c r="S26" s="22">
        <v>1617</v>
      </c>
      <c r="T26" s="22">
        <v>1314</v>
      </c>
      <c r="U26" s="22">
        <v>941</v>
      </c>
      <c r="V26" s="22">
        <v>6242</v>
      </c>
    </row>
    <row r="27" spans="16:22" x14ac:dyDescent="0.35">
      <c r="P27" s="27" t="s">
        <v>14</v>
      </c>
      <c r="Q27" s="22">
        <v>1255</v>
      </c>
      <c r="R27" s="22">
        <v>516</v>
      </c>
      <c r="S27" s="22">
        <v>1874</v>
      </c>
      <c r="T27" s="22">
        <v>1863</v>
      </c>
      <c r="U27" s="22">
        <v>1722</v>
      </c>
      <c r="V27" s="22">
        <v>7230</v>
      </c>
    </row>
    <row r="28" spans="16:22" x14ac:dyDescent="0.35">
      <c r="P28" s="27" t="s">
        <v>19</v>
      </c>
      <c r="Q28" s="22">
        <v>1138</v>
      </c>
      <c r="R28" s="22">
        <v>1898</v>
      </c>
      <c r="S28" s="22">
        <v>1482</v>
      </c>
      <c r="T28" s="22">
        <v>846</v>
      </c>
      <c r="U28" s="22">
        <v>1154</v>
      </c>
      <c r="V28" s="22">
        <v>6518</v>
      </c>
    </row>
    <row r="29" spans="16:22" x14ac:dyDescent="0.35">
      <c r="P29" s="28" t="s">
        <v>1000</v>
      </c>
      <c r="Q29" s="29"/>
      <c r="R29" s="29"/>
      <c r="S29" s="29"/>
      <c r="T29" s="29"/>
      <c r="U29" s="29"/>
      <c r="V29" s="29"/>
    </row>
    <row r="30" spans="16:22" x14ac:dyDescent="0.35">
      <c r="P30" s="27" t="s">
        <v>17</v>
      </c>
      <c r="Q30" s="22">
        <v>1655</v>
      </c>
      <c r="R30" s="22">
        <v>805</v>
      </c>
      <c r="S30" s="22">
        <v>2263</v>
      </c>
      <c r="T30" s="22">
        <v>987</v>
      </c>
      <c r="U30" s="22">
        <v>1075</v>
      </c>
      <c r="V30" s="22">
        <v>6785</v>
      </c>
    </row>
    <row r="31" spans="16:22" x14ac:dyDescent="0.35">
      <c r="P31" s="27" t="s">
        <v>23</v>
      </c>
      <c r="Q31" s="22">
        <v>1104</v>
      </c>
      <c r="R31" s="22">
        <v>2280</v>
      </c>
      <c r="S31" s="22">
        <v>1445</v>
      </c>
      <c r="T31" s="22">
        <v>1722</v>
      </c>
      <c r="U31" s="22">
        <v>1196</v>
      </c>
      <c r="V31" s="22">
        <v>7747</v>
      </c>
    </row>
    <row r="32" spans="16:22" x14ac:dyDescent="0.35">
      <c r="P32" s="27" t="s">
        <v>7</v>
      </c>
      <c r="Q32" s="22">
        <v>372</v>
      </c>
      <c r="R32" s="22">
        <v>1818</v>
      </c>
      <c r="S32" s="22">
        <v>1346</v>
      </c>
      <c r="T32" s="22">
        <v>1156</v>
      </c>
      <c r="U32" s="22">
        <v>1484</v>
      </c>
      <c r="V32" s="22">
        <v>6176</v>
      </c>
    </row>
    <row r="33" spans="16:22" x14ac:dyDescent="0.35">
      <c r="P33" s="27" t="s">
        <v>22</v>
      </c>
      <c r="Q33" s="22">
        <v>1415</v>
      </c>
      <c r="R33" s="22">
        <v>1271</v>
      </c>
      <c r="S33" s="22">
        <v>1214</v>
      </c>
      <c r="T33" s="22">
        <v>1135</v>
      </c>
      <c r="U33" s="22">
        <v>1566</v>
      </c>
      <c r="V33" s="22">
        <v>6601</v>
      </c>
    </row>
    <row r="34" spans="16:22" x14ac:dyDescent="0.35">
      <c r="P34" s="27" t="s">
        <v>21</v>
      </c>
      <c r="Q34" s="22">
        <v>1362</v>
      </c>
      <c r="R34" s="22">
        <v>1363</v>
      </c>
      <c r="S34" s="22">
        <v>1152</v>
      </c>
      <c r="T34" s="22">
        <v>777</v>
      </c>
      <c r="U34" s="22">
        <v>750</v>
      </c>
      <c r="V34" s="22">
        <v>5404</v>
      </c>
    </row>
  </sheetData>
  <conditionalFormatting sqref="Q18:U34">
    <cfRule type="dataBar" priority="1">
      <dataBar>
        <cfvo type="min"/>
        <cfvo type="max"/>
        <color rgb="FF63C384"/>
      </dataBar>
      <extLst>
        <ext xmlns:x14="http://schemas.microsoft.com/office/spreadsheetml/2009/9/main" uri="{B025F937-C7B1-47D3-B67F-A62EFF666E3E}">
          <x14:id>{80932340-4031-4655-8623-C4B78040BC0C}</x14:id>
        </ext>
      </extLs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80932340-4031-4655-8623-C4B78040BC0C}">
            <x14:dataBar minLength="0" maxLength="100" border="1" negativeBarBorderColorSameAsPositive="0">
              <x14:cfvo type="autoMin"/>
              <x14:cfvo type="autoMax"/>
              <x14:borderColor rgb="FF63C384"/>
              <x14:negativeFillColor rgb="FFFF0000"/>
              <x14:negativeBorderColor rgb="FFFF0000"/>
              <x14:axisColor rgb="FF000000"/>
            </x14:dataBar>
          </x14:cfRule>
          <xm:sqref>Q18:U34</xm:sqref>
        </x14:conditionalFormatting>
      </x14:conditionalFormatting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topLeftCell="A8" zoomScale="115" zoomScaleNormal="115" workbookViewId="0">
      <selection activeCell="H13" sqref="H13"/>
    </sheetView>
  </sheetViews>
  <sheetFormatPr defaultRowHeight="14.5" x14ac:dyDescent="0.35"/>
  <cols>
    <col min="5" max="5" width="10.83203125" customWidth="1"/>
    <col min="6" max="6" width="9.83203125" customWidth="1"/>
  </cols>
  <sheetData>
    <row r="2" spans="5:6" x14ac:dyDescent="0.35">
      <c r="E2" t="s">
        <v>1040</v>
      </c>
      <c r="F2" t="s">
        <v>1041</v>
      </c>
    </row>
    <row r="3" spans="5:6" ht="25.5" customHeight="1" x14ac:dyDescent="0.35">
      <c r="E3" t="s">
        <v>11</v>
      </c>
      <c r="F3" t="e" vm="1">
        <v>#VALUE!</v>
      </c>
    </row>
    <row r="4" spans="5:6" ht="25.5" customHeight="1" x14ac:dyDescent="0.35">
      <c r="E4" t="s">
        <v>9</v>
      </c>
      <c r="F4" t="e" vm="2">
        <v>#VALUE!</v>
      </c>
    </row>
    <row r="5" spans="5:6" ht="25.5" customHeight="1" x14ac:dyDescent="0.35">
      <c r="E5" t="s">
        <v>6</v>
      </c>
      <c r="F5" t="e" vm="3">
        <v>#VALUE!</v>
      </c>
    </row>
    <row r="6" spans="5:6" ht="25.5" customHeight="1" x14ac:dyDescent="0.35">
      <c r="E6" t="s">
        <v>13</v>
      </c>
      <c r="F6" t="e" vm="4">
        <v>#VALUE!</v>
      </c>
    </row>
    <row r="7" spans="5:6" ht="25.5" customHeight="1" x14ac:dyDescent="0.35">
      <c r="E7" t="s">
        <v>10</v>
      </c>
      <c r="F7" t="e" vm="5">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pivorts</vt:lpstr>
      <vt:lpstr>Data</vt:lpstr>
      <vt:lpstr>customer center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adarsh reddy peddireddy</cp:lastModifiedBy>
  <dcterms:created xsi:type="dcterms:W3CDTF">2021-03-14T20:21:32Z</dcterms:created>
  <dcterms:modified xsi:type="dcterms:W3CDTF">2026-03-15T06:31:02Z</dcterms:modified>
</cp:coreProperties>
</file>